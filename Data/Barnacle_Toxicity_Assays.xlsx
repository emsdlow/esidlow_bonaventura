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emilysidlow/Desktop/School stuff/Bonaventura/git/esidlow_bonaventura/Data/"/>
    </mc:Choice>
  </mc:AlternateContent>
  <xr:revisionPtr revIDLastSave="0" documentId="13_ncr:1_{B6272028-7190-EE4F-A1B9-B2E5900C36CB}" xr6:coauthVersionLast="47" xr6:coauthVersionMax="47" xr10:uidLastSave="{00000000-0000-0000-0000-000000000000}"/>
  <bookViews>
    <workbookView xWindow="20" yWindow="5280" windowWidth="30240" windowHeight="17280" activeTab="3" xr2:uid="{004714F4-E14F-0B40-B335-9E6A14257324}"/>
  </bookViews>
  <sheets>
    <sheet name="Barnalce Toxicity Assays" sheetId="1" r:id="rId1"/>
    <sheet name="Data for R" sheetId="2" r:id="rId2"/>
    <sheet name="Particle concentrations" sheetId="4" r:id="rId3"/>
    <sheet name="Sheet3"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7" i="5" l="1"/>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H11" i="5"/>
  <c r="G11" i="5"/>
  <c r="H10" i="5"/>
  <c r="G10" i="5"/>
  <c r="H9" i="5"/>
  <c r="G9" i="5"/>
  <c r="H8" i="5"/>
  <c r="G8" i="5"/>
  <c r="H7" i="5"/>
  <c r="G7" i="5"/>
  <c r="H6" i="5"/>
  <c r="G6" i="5"/>
  <c r="H5" i="5"/>
  <c r="G5" i="5"/>
  <c r="H4" i="5"/>
  <c r="G4" i="5"/>
  <c r="H3" i="5"/>
  <c r="G3" i="5"/>
  <c r="H2" i="5"/>
  <c r="G2" i="5"/>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6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35" i="4"/>
  <c r="L8" i="4"/>
  <c r="L16"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2" i="4"/>
  <c r="L24" i="4"/>
  <c r="V97" i="4"/>
  <c r="U97" i="4"/>
  <c r="V96" i="4"/>
  <c r="U96" i="4"/>
  <c r="V95" i="4"/>
  <c r="U95" i="4"/>
  <c r="V94" i="4"/>
  <c r="U94" i="4"/>
  <c r="V93" i="4"/>
  <c r="U93" i="4"/>
  <c r="V92" i="4"/>
  <c r="U92" i="4"/>
  <c r="V91" i="4"/>
  <c r="U91" i="4"/>
  <c r="V90" i="4"/>
  <c r="U90" i="4"/>
  <c r="V89" i="4"/>
  <c r="U89" i="4"/>
  <c r="V88" i="4"/>
  <c r="U88" i="4"/>
  <c r="V87" i="4"/>
  <c r="U87" i="4"/>
  <c r="V86" i="4"/>
  <c r="U86" i="4"/>
  <c r="V85" i="4"/>
  <c r="U85" i="4"/>
  <c r="V84" i="4"/>
  <c r="U84" i="4"/>
  <c r="V83" i="4"/>
  <c r="U83" i="4"/>
  <c r="V82" i="4"/>
  <c r="U82" i="4"/>
  <c r="V81" i="4"/>
  <c r="U81" i="4"/>
  <c r="V80" i="4"/>
  <c r="U80" i="4"/>
  <c r="V79" i="4"/>
  <c r="U79" i="4"/>
  <c r="V78" i="4"/>
  <c r="U78" i="4"/>
  <c r="V77" i="4"/>
  <c r="U77" i="4"/>
  <c r="V76" i="4"/>
  <c r="U76" i="4"/>
  <c r="V75" i="4"/>
  <c r="U75" i="4"/>
  <c r="V74" i="4"/>
  <c r="U74" i="4"/>
  <c r="V73" i="4"/>
  <c r="U73" i="4"/>
  <c r="V72" i="4"/>
  <c r="U72" i="4"/>
  <c r="V71" i="4"/>
  <c r="U71" i="4"/>
  <c r="V70" i="4"/>
  <c r="U70" i="4"/>
  <c r="V69" i="4"/>
  <c r="U69" i="4"/>
  <c r="V68" i="4"/>
  <c r="U68" i="4"/>
  <c r="V67" i="4"/>
  <c r="U67" i="4"/>
  <c r="V66" i="4"/>
  <c r="U66" i="4"/>
  <c r="V65" i="4"/>
  <c r="U65" i="4"/>
  <c r="V64" i="4"/>
  <c r="U64" i="4"/>
  <c r="V63" i="4"/>
  <c r="U63" i="4"/>
  <c r="V62" i="4"/>
  <c r="U62" i="4"/>
  <c r="V61" i="4"/>
  <c r="U61" i="4"/>
  <c r="V60" i="4"/>
  <c r="U60" i="4"/>
  <c r="V59" i="4"/>
  <c r="U59" i="4"/>
  <c r="V58" i="4"/>
  <c r="U58" i="4"/>
  <c r="V57" i="4"/>
  <c r="U57" i="4"/>
  <c r="V56" i="4"/>
  <c r="U56" i="4"/>
  <c r="V55" i="4"/>
  <c r="U55" i="4"/>
  <c r="V54" i="4"/>
  <c r="U54" i="4"/>
  <c r="V53" i="4"/>
  <c r="U53" i="4"/>
  <c r="V52" i="4"/>
  <c r="U52" i="4"/>
  <c r="V51" i="4"/>
  <c r="U51" i="4"/>
  <c r="V50" i="4"/>
  <c r="U50" i="4"/>
  <c r="V49" i="4"/>
  <c r="U49" i="4"/>
  <c r="V48" i="4"/>
  <c r="U48" i="4"/>
  <c r="V47" i="4"/>
  <c r="U47" i="4"/>
  <c r="V46" i="4"/>
  <c r="U46" i="4"/>
  <c r="V45" i="4"/>
  <c r="U45" i="4"/>
  <c r="V44" i="4"/>
  <c r="U44" i="4"/>
  <c r="V43" i="4"/>
  <c r="U43" i="4"/>
  <c r="V42" i="4"/>
  <c r="U42" i="4"/>
  <c r="V41" i="4"/>
  <c r="U41" i="4"/>
  <c r="V40" i="4"/>
  <c r="U40" i="4"/>
  <c r="V39" i="4"/>
  <c r="U39" i="4"/>
  <c r="V38" i="4"/>
  <c r="U38" i="4"/>
  <c r="V37" i="4"/>
  <c r="U37" i="4"/>
  <c r="V36" i="4"/>
  <c r="U36" i="4"/>
  <c r="V35" i="4"/>
  <c r="U35" i="4"/>
  <c r="V34" i="4"/>
  <c r="U34" i="4"/>
  <c r="V33" i="4"/>
  <c r="U33" i="4"/>
  <c r="V32" i="4"/>
  <c r="U32" i="4"/>
  <c r="V31" i="4"/>
  <c r="U31" i="4"/>
  <c r="V30" i="4"/>
  <c r="U30" i="4"/>
  <c r="V29" i="4"/>
  <c r="U29" i="4"/>
  <c r="V28" i="4"/>
  <c r="U28" i="4"/>
  <c r="V27" i="4"/>
  <c r="U27" i="4"/>
  <c r="V26" i="4"/>
  <c r="U26" i="4"/>
  <c r="V25" i="4"/>
  <c r="U25" i="4"/>
  <c r="V24" i="4"/>
  <c r="U24" i="4"/>
  <c r="V23" i="4"/>
  <c r="U23" i="4"/>
  <c r="V22" i="4"/>
  <c r="U22" i="4"/>
  <c r="V21" i="4"/>
  <c r="U21" i="4"/>
  <c r="V20" i="4"/>
  <c r="U20" i="4"/>
  <c r="V19" i="4"/>
  <c r="U19" i="4"/>
  <c r="V18" i="4"/>
  <c r="U18" i="4"/>
  <c r="V17" i="4"/>
  <c r="U17" i="4"/>
  <c r="V16" i="4"/>
  <c r="U16" i="4"/>
  <c r="V15" i="4"/>
  <c r="U15" i="4"/>
  <c r="V14" i="4"/>
  <c r="U14" i="4"/>
  <c r="V13" i="4"/>
  <c r="U13" i="4"/>
  <c r="V12" i="4"/>
  <c r="U12" i="4"/>
  <c r="V11" i="4"/>
  <c r="U11" i="4"/>
  <c r="V10" i="4"/>
  <c r="U10" i="4"/>
  <c r="V9" i="4"/>
  <c r="U9" i="4"/>
  <c r="V8" i="4"/>
  <c r="U8" i="4"/>
  <c r="V7" i="4"/>
  <c r="U7" i="4"/>
  <c r="V6" i="4"/>
  <c r="U6" i="4"/>
  <c r="V5" i="4"/>
  <c r="U5" i="4"/>
  <c r="V4" i="4"/>
  <c r="U4" i="4"/>
  <c r="V3" i="4"/>
  <c r="U3" i="4"/>
  <c r="V2" i="4"/>
  <c r="U2" i="4"/>
  <c r="J21" i="4"/>
  <c r="M20" i="4" s="1"/>
  <c r="J20" i="4"/>
  <c r="J13" i="4"/>
  <c r="J12" i="4"/>
  <c r="M12" i="4" s="1"/>
  <c r="J5" i="4"/>
  <c r="M4" i="4" s="1"/>
  <c r="J4" i="4"/>
  <c r="G97" i="4"/>
  <c r="F97" i="4"/>
  <c r="G96" i="4"/>
  <c r="F96" i="4"/>
  <c r="G95" i="4"/>
  <c r="F95" i="4"/>
  <c r="G94" i="4"/>
  <c r="F94" i="4"/>
  <c r="G93" i="4"/>
  <c r="F93" i="4"/>
  <c r="G92" i="4"/>
  <c r="F92" i="4"/>
  <c r="G91" i="4"/>
  <c r="F91" i="4"/>
  <c r="G90" i="4"/>
  <c r="F90" i="4"/>
  <c r="G89" i="4"/>
  <c r="F89" i="4"/>
  <c r="G88" i="4"/>
  <c r="F88" i="4"/>
  <c r="G87" i="4"/>
  <c r="F87" i="4"/>
  <c r="G86" i="4"/>
  <c r="F86" i="4"/>
  <c r="G85" i="4"/>
  <c r="F85" i="4"/>
  <c r="G84" i="4"/>
  <c r="F84" i="4"/>
  <c r="G83" i="4"/>
  <c r="F83" i="4"/>
  <c r="G82" i="4"/>
  <c r="F82" i="4"/>
  <c r="G81" i="4"/>
  <c r="F81" i="4"/>
  <c r="G80" i="4"/>
  <c r="F80" i="4"/>
  <c r="G79" i="4"/>
  <c r="F79" i="4"/>
  <c r="G78" i="4"/>
  <c r="F78" i="4"/>
  <c r="G77" i="4"/>
  <c r="F77" i="4"/>
  <c r="G76" i="4"/>
  <c r="F76" i="4"/>
  <c r="G75" i="4"/>
  <c r="F75" i="4"/>
  <c r="G74" i="4"/>
  <c r="F74" i="4"/>
  <c r="G73" i="4"/>
  <c r="F73" i="4"/>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5" i="4"/>
  <c r="F15" i="4"/>
  <c r="G14" i="4"/>
  <c r="F14" i="4"/>
  <c r="G13" i="4"/>
  <c r="F13" i="4"/>
  <c r="G12" i="4"/>
  <c r="F12" i="4"/>
  <c r="G11" i="4"/>
  <c r="F11" i="4"/>
  <c r="G10" i="4"/>
  <c r="F10" i="4"/>
  <c r="G9" i="4"/>
  <c r="F9" i="4"/>
  <c r="G8" i="4"/>
  <c r="F8" i="4"/>
  <c r="G7" i="4"/>
  <c r="F7" i="4"/>
  <c r="G6" i="4"/>
  <c r="F6" i="4"/>
  <c r="G5" i="4"/>
  <c r="F5" i="4"/>
  <c r="G4" i="4"/>
  <c r="F4" i="4"/>
  <c r="G3" i="4"/>
  <c r="F3" i="4"/>
  <c r="G2" i="4"/>
  <c r="F2" i="4"/>
  <c r="DZ8" i="1"/>
  <c r="DZ7" i="1"/>
  <c r="CT42" i="1"/>
  <c r="CT41" i="1"/>
  <c r="EC17" i="1"/>
  <c r="EC12" i="1"/>
  <c r="EC7" i="1"/>
  <c r="DZ18" i="1"/>
  <c r="DZ17" i="1"/>
  <c r="DZ13" i="1"/>
  <c r="DZ12" i="1"/>
  <c r="G97" i="2"/>
  <c r="F97" i="2"/>
  <c r="G96" i="2"/>
  <c r="F96" i="2"/>
  <c r="G95" i="2"/>
  <c r="F95" i="2"/>
  <c r="G94" i="2"/>
  <c r="F94" i="2"/>
  <c r="G93" i="2"/>
  <c r="F93" i="2"/>
  <c r="G92" i="2"/>
  <c r="F92" i="2"/>
  <c r="G91" i="2"/>
  <c r="F91" i="2"/>
  <c r="G90" i="2"/>
  <c r="F90" i="2"/>
  <c r="G89" i="2"/>
  <c r="F89" i="2"/>
  <c r="G88" i="2"/>
  <c r="F88" i="2"/>
  <c r="G87" i="2"/>
  <c r="F87" i="2"/>
  <c r="G86" i="2"/>
  <c r="F86" i="2"/>
  <c r="G85" i="2"/>
  <c r="F85" i="2"/>
  <c r="G84" i="2"/>
  <c r="F84" i="2"/>
  <c r="G83" i="2"/>
  <c r="F83" i="2"/>
  <c r="G82" i="2"/>
  <c r="F82" i="2"/>
  <c r="G81" i="2"/>
  <c r="F81" i="2"/>
  <c r="G80" i="2"/>
  <c r="F80" i="2"/>
  <c r="G79" i="2"/>
  <c r="F79" i="2"/>
  <c r="G78" i="2"/>
  <c r="F78" i="2"/>
  <c r="G77" i="2"/>
  <c r="F77" i="2"/>
  <c r="G76" i="2"/>
  <c r="F76" i="2"/>
  <c r="G75" i="2"/>
  <c r="F75" i="2"/>
  <c r="G74" i="2"/>
  <c r="F74" i="2"/>
  <c r="G73" i="2"/>
  <c r="F73" i="2"/>
  <c r="G72" i="2"/>
  <c r="F72" i="2"/>
  <c r="G71" i="2"/>
  <c r="F71" i="2"/>
  <c r="G70" i="2"/>
  <c r="F70" i="2"/>
  <c r="G69" i="2"/>
  <c r="F69" i="2"/>
  <c r="G68" i="2"/>
  <c r="F68" i="2"/>
  <c r="G67" i="2"/>
  <c r="F67" i="2"/>
  <c r="G66" i="2"/>
  <c r="F66" i="2"/>
  <c r="G65" i="2"/>
  <c r="F65" i="2"/>
  <c r="G64" i="2"/>
  <c r="F64" i="2"/>
  <c r="G63" i="2"/>
  <c r="F63" i="2"/>
  <c r="G62" i="2"/>
  <c r="F62" i="2"/>
  <c r="G61" i="2"/>
  <c r="F61" i="2"/>
  <c r="G60" i="2"/>
  <c r="F60" i="2"/>
  <c r="G59" i="2"/>
  <c r="F59" i="2"/>
  <c r="G58" i="2"/>
  <c r="F58" i="2"/>
  <c r="G57" i="2"/>
  <c r="F57" i="2"/>
  <c r="G56" i="2"/>
  <c r="F56" i="2"/>
  <c r="G55" i="2"/>
  <c r="F55" i="2"/>
  <c r="G54" i="2"/>
  <c r="F54" i="2"/>
  <c r="G53" i="2"/>
  <c r="F53" i="2"/>
  <c r="G52" i="2"/>
  <c r="F52" i="2"/>
  <c r="G51" i="2"/>
  <c r="F51" i="2"/>
  <c r="G50" i="2"/>
  <c r="F50" i="2"/>
  <c r="G49" i="2"/>
  <c r="F49" i="2"/>
  <c r="G48" i="2"/>
  <c r="F48" i="2"/>
  <c r="G47" i="2"/>
  <c r="F47" i="2"/>
  <c r="G46" i="2"/>
  <c r="F46" i="2"/>
  <c r="G45" i="2"/>
  <c r="F45" i="2"/>
  <c r="G44" i="2"/>
  <c r="F44" i="2"/>
  <c r="G43" i="2"/>
  <c r="F43" i="2"/>
  <c r="G42" i="2"/>
  <c r="F42" i="2"/>
  <c r="G41" i="2"/>
  <c r="F41" i="2"/>
  <c r="G40" i="2"/>
  <c r="F40" i="2"/>
  <c r="G39" i="2"/>
  <c r="F39" i="2"/>
  <c r="G38"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4" i="2"/>
  <c r="F4" i="2"/>
  <c r="G3" i="2"/>
  <c r="F3" i="2"/>
  <c r="G2" i="2"/>
  <c r="F2" i="2"/>
  <c r="DW99" i="1"/>
  <c r="DV99" i="1"/>
  <c r="DW98" i="1"/>
  <c r="DV98" i="1"/>
  <c r="DW97" i="1"/>
  <c r="DV97" i="1"/>
  <c r="DW96" i="1"/>
  <c r="DV96" i="1"/>
  <c r="DW95" i="1"/>
  <c r="DV95" i="1"/>
  <c r="DW94" i="1"/>
  <c r="DV94" i="1"/>
  <c r="DW93" i="1"/>
  <c r="DV93" i="1"/>
  <c r="DW92" i="1"/>
  <c r="DV92" i="1"/>
  <c r="DW91" i="1"/>
  <c r="DV91" i="1"/>
  <c r="DW90" i="1"/>
  <c r="DV90" i="1"/>
  <c r="DW89" i="1"/>
  <c r="DV89" i="1"/>
  <c r="DW88" i="1"/>
  <c r="DV88" i="1"/>
  <c r="DW87" i="1"/>
  <c r="DV87" i="1"/>
  <c r="DW86" i="1"/>
  <c r="DV86" i="1"/>
  <c r="DW85" i="1"/>
  <c r="DV85" i="1"/>
  <c r="DW84" i="1"/>
  <c r="DV84" i="1"/>
  <c r="DW83" i="1"/>
  <c r="DV83" i="1"/>
  <c r="DW82" i="1"/>
  <c r="DV82" i="1"/>
  <c r="DW81" i="1"/>
  <c r="DV81" i="1"/>
  <c r="DW80" i="1"/>
  <c r="DV80" i="1"/>
  <c r="DW79" i="1"/>
  <c r="DV79" i="1"/>
  <c r="DW78" i="1"/>
  <c r="DV78" i="1"/>
  <c r="DW77" i="1"/>
  <c r="DV77" i="1"/>
  <c r="DW76" i="1"/>
  <c r="DV76" i="1"/>
  <c r="DW75" i="1"/>
  <c r="DV75" i="1"/>
  <c r="DW74" i="1"/>
  <c r="DV74" i="1"/>
  <c r="DW73" i="1"/>
  <c r="DV73" i="1"/>
  <c r="DW72" i="1"/>
  <c r="DV72" i="1"/>
  <c r="DW71" i="1"/>
  <c r="DV71" i="1"/>
  <c r="DW70" i="1"/>
  <c r="DV70" i="1"/>
  <c r="DW69" i="1"/>
  <c r="DV69" i="1"/>
  <c r="DW68" i="1"/>
  <c r="DV68" i="1"/>
  <c r="DW67" i="1"/>
  <c r="DV67" i="1"/>
  <c r="DW66" i="1"/>
  <c r="DV66" i="1"/>
  <c r="DW65" i="1"/>
  <c r="DV65" i="1"/>
  <c r="DW64" i="1"/>
  <c r="DV64" i="1"/>
  <c r="DW63" i="1"/>
  <c r="DV63" i="1"/>
  <c r="DW62" i="1"/>
  <c r="DV62" i="1"/>
  <c r="DW61" i="1"/>
  <c r="DV61" i="1"/>
  <c r="DW60" i="1"/>
  <c r="DV60" i="1"/>
  <c r="DW59" i="1"/>
  <c r="DV59" i="1"/>
  <c r="DW58" i="1"/>
  <c r="DV58" i="1"/>
  <c r="DW57" i="1"/>
  <c r="DV57" i="1"/>
  <c r="DW56" i="1"/>
  <c r="DV56" i="1"/>
  <c r="DW55" i="1"/>
  <c r="DV55" i="1"/>
  <c r="DW54" i="1"/>
  <c r="DV54" i="1"/>
  <c r="DW53" i="1"/>
  <c r="DV53" i="1"/>
  <c r="DW52" i="1"/>
  <c r="DV52" i="1"/>
  <c r="DW51" i="1"/>
  <c r="DV51" i="1"/>
  <c r="DW50" i="1"/>
  <c r="DV50" i="1"/>
  <c r="DW49" i="1"/>
  <c r="DV49" i="1"/>
  <c r="DW48" i="1"/>
  <c r="DV48" i="1"/>
  <c r="DW47" i="1"/>
  <c r="DV47" i="1"/>
  <c r="DW46" i="1"/>
  <c r="DV46" i="1"/>
  <c r="DW45" i="1"/>
  <c r="DV45" i="1"/>
  <c r="DW44" i="1"/>
  <c r="DV44" i="1"/>
  <c r="DW43" i="1"/>
  <c r="DV43" i="1"/>
  <c r="DW42" i="1"/>
  <c r="DV42" i="1"/>
  <c r="DW41" i="1"/>
  <c r="DV41" i="1"/>
  <c r="DW40" i="1"/>
  <c r="DV40" i="1"/>
  <c r="DW39" i="1"/>
  <c r="DV39" i="1"/>
  <c r="DW38" i="1"/>
  <c r="DV38" i="1"/>
  <c r="DW37" i="1"/>
  <c r="DV37" i="1"/>
  <c r="DV22" i="1"/>
  <c r="DW22" i="1"/>
  <c r="DV23" i="1"/>
  <c r="DW23" i="1"/>
  <c r="DV24" i="1"/>
  <c r="DW24" i="1"/>
  <c r="DW19" i="1"/>
  <c r="DW20" i="1"/>
  <c r="DW21" i="1"/>
  <c r="DV19" i="1"/>
  <c r="DV20" i="1"/>
  <c r="DV21" i="1"/>
  <c r="DW31" i="1"/>
  <c r="DW32" i="1"/>
  <c r="DW33" i="1"/>
  <c r="DW34" i="1"/>
  <c r="DW35" i="1"/>
  <c r="DW36" i="1"/>
  <c r="DV10" i="1"/>
  <c r="DV11" i="1"/>
  <c r="DV12" i="1"/>
  <c r="DV13" i="1"/>
  <c r="DV14" i="1"/>
  <c r="DV15" i="1"/>
  <c r="DV16" i="1"/>
  <c r="DV17" i="1"/>
  <c r="DV18" i="1"/>
  <c r="DV25" i="1"/>
  <c r="DV26" i="1"/>
  <c r="DV27" i="1"/>
  <c r="DV28" i="1"/>
  <c r="DV29" i="1"/>
  <c r="DV30" i="1"/>
  <c r="DV31" i="1"/>
  <c r="DV32" i="1"/>
  <c r="DV33" i="1"/>
  <c r="DV34" i="1"/>
  <c r="DV35" i="1"/>
  <c r="DV36" i="1"/>
  <c r="DW7" i="1"/>
  <c r="DW8" i="1"/>
  <c r="DW9" i="1"/>
  <c r="DW10" i="1"/>
  <c r="DW11" i="1"/>
  <c r="DW12" i="1"/>
  <c r="DW13" i="1"/>
  <c r="DW14" i="1"/>
  <c r="DW15" i="1"/>
  <c r="DW16" i="1"/>
  <c r="DW17" i="1"/>
  <c r="DW18" i="1"/>
  <c r="DW25" i="1"/>
  <c r="DW26" i="1"/>
  <c r="DW27" i="1"/>
  <c r="DW28" i="1"/>
  <c r="DW29" i="1"/>
  <c r="DW30" i="1"/>
  <c r="DV7" i="1"/>
  <c r="DV8" i="1"/>
  <c r="DV9" i="1"/>
  <c r="DW5" i="1"/>
  <c r="DW6" i="1"/>
  <c r="DW4" i="1"/>
  <c r="DV5" i="1"/>
  <c r="DV6" i="1"/>
  <c r="DV4" i="1"/>
  <c r="DN35" i="1"/>
  <c r="DN36" i="1"/>
  <c r="DN37" i="1"/>
  <c r="DN38" i="1"/>
  <c r="DN39" i="1"/>
  <c r="DN40" i="1"/>
  <c r="DN41" i="1"/>
  <c r="DN42" i="1"/>
  <c r="DN43" i="1"/>
  <c r="DN34" i="1"/>
  <c r="DN21" i="1"/>
  <c r="DN22" i="1"/>
  <c r="DN23" i="1"/>
  <c r="DN24" i="1"/>
  <c r="DN25" i="1"/>
  <c r="DN26" i="1"/>
  <c r="DN27" i="1"/>
  <c r="DN28" i="1"/>
  <c r="DN20" i="1"/>
  <c r="DN6" i="1"/>
  <c r="DN7" i="1"/>
  <c r="DN8" i="1"/>
  <c r="DN9" i="1"/>
  <c r="DN10" i="1"/>
  <c r="DN11" i="1"/>
  <c r="DN12" i="1"/>
  <c r="DN13" i="1"/>
  <c r="DN14" i="1"/>
  <c r="DN5" i="1"/>
  <c r="DM35" i="1"/>
  <c r="DM36" i="1"/>
  <c r="DM37" i="1"/>
  <c r="DM38" i="1"/>
  <c r="DM39" i="1"/>
  <c r="DM40" i="1"/>
  <c r="DM41" i="1"/>
  <c r="DM42" i="1"/>
  <c r="DM43" i="1"/>
  <c r="DM34" i="1"/>
  <c r="DM21" i="1"/>
  <c r="DM22" i="1"/>
  <c r="DM23" i="1"/>
  <c r="DM24" i="1"/>
  <c r="DM25" i="1"/>
  <c r="DM26" i="1"/>
  <c r="DM27" i="1"/>
  <c r="DM28" i="1"/>
  <c r="DM20" i="1"/>
  <c r="DM6" i="1"/>
  <c r="DM5" i="1"/>
  <c r="DM7" i="1"/>
  <c r="DM8" i="1"/>
  <c r="DM9" i="1"/>
  <c r="DM10" i="1"/>
  <c r="DM11" i="1"/>
  <c r="DM12" i="1"/>
  <c r="DM13" i="1"/>
  <c r="DM14" i="1"/>
  <c r="AW14" i="1"/>
  <c r="AW15" i="1" s="1"/>
  <c r="AW16" i="1" s="1"/>
  <c r="AX28" i="1" s="1" a="1"/>
  <c r="AX28" i="1" s="1"/>
  <c r="AW8" i="1"/>
  <c r="AW9" i="1" s="1"/>
  <c r="AW10" i="1" s="1"/>
  <c r="CQ24" i="1"/>
  <c r="CS27" i="1" s="1"/>
  <c r="CS28" i="1" s="1"/>
  <c r="CS29" i="1" s="1"/>
  <c r="CS30" i="1" s="1"/>
  <c r="CT27" i="1" s="1" a="1"/>
  <c r="DB37" i="1"/>
  <c r="CZ37" i="1"/>
  <c r="CX37" i="1"/>
  <c r="DB36" i="1"/>
  <c r="CZ36" i="1"/>
  <c r="CX36" i="1"/>
  <c r="DB35" i="1"/>
  <c r="CZ35" i="1"/>
  <c r="CX35" i="1"/>
  <c r="DB34" i="1"/>
  <c r="CZ34" i="1"/>
  <c r="CX34" i="1"/>
  <c r="DB33" i="1"/>
  <c r="CZ33" i="1"/>
  <c r="CX33" i="1"/>
  <c r="DB19" i="1"/>
  <c r="CZ19" i="1"/>
  <c r="CX19" i="1"/>
  <c r="DB18" i="1"/>
  <c r="CZ18" i="1"/>
  <c r="CX18" i="1"/>
  <c r="DB17" i="1"/>
  <c r="CZ17" i="1"/>
  <c r="CX17" i="1"/>
  <c r="DB16" i="1"/>
  <c r="CZ16" i="1"/>
  <c r="CX16" i="1"/>
  <c r="DB15" i="1"/>
  <c r="CZ15" i="1"/>
  <c r="CX15" i="1"/>
  <c r="CS10" i="1"/>
  <c r="CS11" i="1" s="1"/>
  <c r="CS12" i="1" s="1"/>
  <c r="CT9" i="1" s="1" a="1"/>
  <c r="BN50" i="1"/>
  <c r="BN49" i="1"/>
  <c r="CK6" i="1"/>
  <c r="CK5" i="1"/>
  <c r="BK123" i="1"/>
  <c r="BK124" i="1" s="1"/>
  <c r="BK125" i="1" s="1"/>
  <c r="BK126" i="1" s="1"/>
  <c r="BL123" i="1" s="1" a="1"/>
  <c r="BT133" i="1"/>
  <c r="BR133" i="1"/>
  <c r="BP133" i="1"/>
  <c r="BT132" i="1"/>
  <c r="BR132" i="1"/>
  <c r="BP132" i="1"/>
  <c r="BT131" i="1"/>
  <c r="BR131" i="1"/>
  <c r="BP131" i="1"/>
  <c r="BT130" i="1"/>
  <c r="BR130" i="1"/>
  <c r="BP130" i="1"/>
  <c r="BT129" i="1"/>
  <c r="BR129" i="1"/>
  <c r="BP129" i="1"/>
  <c r="BK105" i="1"/>
  <c r="BK106" i="1" s="1"/>
  <c r="BK107" i="1" s="1"/>
  <c r="BK108" i="1" s="1"/>
  <c r="BL105" i="1" s="1" a="1"/>
  <c r="BL105" i="1" s="1"/>
  <c r="BN103" i="1" s="1"/>
  <c r="BN111" i="1" s="1"/>
  <c r="BT115" i="1"/>
  <c r="BR115" i="1"/>
  <c r="BP115" i="1"/>
  <c r="BT114" i="1"/>
  <c r="BR114" i="1"/>
  <c r="BP114" i="1"/>
  <c r="BT113" i="1"/>
  <c r="BR113" i="1"/>
  <c r="BP113" i="1"/>
  <c r="BT112" i="1"/>
  <c r="BR112" i="1"/>
  <c r="BP112" i="1"/>
  <c r="BT111" i="1"/>
  <c r="BR111" i="1"/>
  <c r="BP111" i="1"/>
  <c r="BW36" i="1"/>
  <c r="CF36" i="1"/>
  <c r="BN36" i="1"/>
  <c r="CH30" i="1"/>
  <c r="CH31" i="1"/>
  <c r="CH32" i="1"/>
  <c r="CH33" i="1"/>
  <c r="CH34" i="1"/>
  <c r="CH29" i="1"/>
  <c r="CG30" i="1"/>
  <c r="CG31" i="1"/>
  <c r="CG32" i="1"/>
  <c r="CG33" i="1"/>
  <c r="CG34" i="1"/>
  <c r="CG29" i="1"/>
  <c r="BY30" i="1"/>
  <c r="BY31" i="1"/>
  <c r="BY32" i="1"/>
  <c r="BY33" i="1"/>
  <c r="BY34" i="1"/>
  <c r="BY29" i="1"/>
  <c r="BX30" i="1"/>
  <c r="BX31" i="1"/>
  <c r="BX32" i="1"/>
  <c r="BX33" i="1"/>
  <c r="BX34" i="1"/>
  <c r="BX29" i="1"/>
  <c r="BP30" i="1"/>
  <c r="BP31" i="1"/>
  <c r="BP32" i="1"/>
  <c r="BP33" i="1"/>
  <c r="BP34" i="1"/>
  <c r="BP29" i="1"/>
  <c r="BO30" i="1"/>
  <c r="BO31" i="1"/>
  <c r="BO32" i="1"/>
  <c r="BO33" i="1"/>
  <c r="BO34" i="1"/>
  <c r="BO29" i="1"/>
  <c r="CG73" i="1"/>
  <c r="CG74" i="1"/>
  <c r="CG75" i="1"/>
  <c r="CG76" i="1"/>
  <c r="CG77" i="1"/>
  <c r="CG72" i="1"/>
  <c r="CF73" i="1"/>
  <c r="CF74" i="1"/>
  <c r="CF75" i="1"/>
  <c r="CF76" i="1"/>
  <c r="CF77" i="1"/>
  <c r="CF72" i="1"/>
  <c r="BX73" i="1"/>
  <c r="BX74" i="1"/>
  <c r="BX75" i="1"/>
  <c r="BX76" i="1"/>
  <c r="BX77" i="1"/>
  <c r="BX72" i="1"/>
  <c r="BW73" i="1"/>
  <c r="BW74" i="1"/>
  <c r="BW75" i="1"/>
  <c r="BW76" i="1"/>
  <c r="BW77" i="1"/>
  <c r="BW72" i="1"/>
  <c r="BO73" i="1"/>
  <c r="BO74" i="1"/>
  <c r="BO75" i="1"/>
  <c r="BO76" i="1"/>
  <c r="BO77" i="1"/>
  <c r="BO72" i="1"/>
  <c r="BN73" i="1"/>
  <c r="BN74" i="1"/>
  <c r="BN75" i="1"/>
  <c r="BN76" i="1"/>
  <c r="BN77" i="1"/>
  <c r="BN72" i="1"/>
  <c r="BM54" i="1"/>
  <c r="BP64" i="1"/>
  <c r="BP63" i="1"/>
  <c r="BP62" i="1"/>
  <c r="BT21" i="1"/>
  <c r="BT20" i="1"/>
  <c r="BT19" i="1"/>
  <c r="BT18" i="1"/>
  <c r="BT17" i="1"/>
  <c r="BT16" i="1"/>
  <c r="BT67" i="1"/>
  <c r="BT66" i="1"/>
  <c r="BT65" i="1"/>
  <c r="BT64" i="1"/>
  <c r="BT63" i="1"/>
  <c r="BT62" i="1"/>
  <c r="BR67" i="1"/>
  <c r="BR66" i="1"/>
  <c r="BR65" i="1"/>
  <c r="BR64" i="1"/>
  <c r="BR63" i="1"/>
  <c r="BR62" i="1"/>
  <c r="BP65" i="1"/>
  <c r="BP66" i="1"/>
  <c r="BP67" i="1"/>
  <c r="BZ17" i="1"/>
  <c r="BZ18" i="1"/>
  <c r="BZ19" i="1"/>
  <c r="BZ20" i="1"/>
  <c r="BZ21" i="1"/>
  <c r="BZ16" i="1"/>
  <c r="BX21" i="1"/>
  <c r="BX20" i="1"/>
  <c r="BX19" i="1"/>
  <c r="BX18" i="1"/>
  <c r="BX17" i="1"/>
  <c r="BX16" i="1"/>
  <c r="BV17" i="1"/>
  <c r="BV18" i="1"/>
  <c r="BV19" i="1"/>
  <c r="BV20" i="1"/>
  <c r="BV21" i="1"/>
  <c r="BV16" i="1"/>
  <c r="BM8" i="1"/>
  <c r="BR21" i="1"/>
  <c r="BR20" i="1"/>
  <c r="BR19" i="1"/>
  <c r="BR18" i="1"/>
  <c r="BR17" i="1"/>
  <c r="BR16" i="1"/>
  <c r="BP17" i="1"/>
  <c r="BP18" i="1"/>
  <c r="BP19" i="1"/>
  <c r="BP20" i="1"/>
  <c r="BP21" i="1"/>
  <c r="BP16" i="1"/>
  <c r="BJ12" i="1"/>
  <c r="BJ13" i="1" s="1"/>
  <c r="BJ14" i="1" s="1"/>
  <c r="BJ15" i="1" s="1"/>
  <c r="BK11" i="1" s="1" a="1"/>
  <c r="BM4" i="1"/>
  <c r="BJ5" i="1" s="1"/>
  <c r="BJ6" i="1" s="1"/>
  <c r="BJ7" i="1" s="1"/>
  <c r="BJ8" i="1" s="1"/>
  <c r="BK4" i="1" s="1" a="1"/>
  <c r="BK4" i="1" s="1"/>
  <c r="BN16" i="1" s="1"/>
  <c r="BM2" i="1"/>
  <c r="AX48" i="1"/>
  <c r="AX41" i="1"/>
  <c r="BC41" i="1" s="1"/>
  <c r="AZ42" i="1"/>
  <c r="AZ41" i="1"/>
  <c r="AY44" i="1"/>
  <c r="BB44" i="1" s="1"/>
  <c r="BD44" i="1" s="1"/>
  <c r="AY43" i="1"/>
  <c r="BB43" i="1" s="1"/>
  <c r="AY42" i="1"/>
  <c r="AY41" i="1"/>
  <c r="BE15" i="1"/>
  <c r="BE16" i="1"/>
  <c r="BE17" i="1"/>
  <c r="BE14" i="1"/>
  <c r="BC15" i="1"/>
  <c r="BC16" i="1"/>
  <c r="BC17" i="1"/>
  <c r="BC14" i="1"/>
  <c r="BA15" i="1"/>
  <c r="BA16" i="1"/>
  <c r="BA17" i="1"/>
  <c r="BA14" i="1"/>
  <c r="AY15" i="1"/>
  <c r="AY16" i="1"/>
  <c r="AY17" i="1"/>
  <c r="AY14" i="1"/>
  <c r="BE11" i="1"/>
  <c r="BE10" i="1"/>
  <c r="BE9" i="1"/>
  <c r="BE8" i="1"/>
  <c r="BC9" i="1"/>
  <c r="BC10" i="1"/>
  <c r="BC11" i="1"/>
  <c r="BC8" i="1"/>
  <c r="BA9" i="1"/>
  <c r="BA10" i="1"/>
  <c r="BA11" i="1"/>
  <c r="BA8" i="1"/>
  <c r="AY9" i="1"/>
  <c r="AY10" i="1"/>
  <c r="AY11" i="1"/>
  <c r="AY8" i="1"/>
  <c r="AK12" i="1"/>
  <c r="AH12" i="1"/>
  <c r="AE12" i="1"/>
  <c r="AK11" i="1"/>
  <c r="AH11" i="1"/>
  <c r="AE11" i="1"/>
  <c r="AK10" i="1"/>
  <c r="AH10" i="1"/>
  <c r="AE10" i="1"/>
  <c r="AK9" i="1"/>
  <c r="AH9" i="1"/>
  <c r="AE9" i="1"/>
  <c r="AK8" i="1"/>
  <c r="AH8" i="1"/>
  <c r="AE8" i="1"/>
  <c r="AH7" i="1"/>
  <c r="AK7" i="1"/>
  <c r="AP8" i="1"/>
  <c r="AP9" i="1"/>
  <c r="AP10" i="1"/>
  <c r="AP11" i="1"/>
  <c r="AP12" i="1"/>
  <c r="AO8" i="1"/>
  <c r="AO9" i="1"/>
  <c r="AO10" i="1"/>
  <c r="AO11" i="1"/>
  <c r="AO12" i="1"/>
  <c r="AP7" i="1"/>
  <c r="AO7" i="1"/>
  <c r="AE7" i="1"/>
  <c r="AL3" i="1"/>
  <c r="AO2" i="1" s="1"/>
  <c r="AD15" i="1"/>
  <c r="AD16" i="1" s="1"/>
  <c r="AD17" i="1" s="1"/>
  <c r="AD18" i="1" s="1"/>
  <c r="AD19" i="1" s="1"/>
  <c r="AD20" i="1" s="1"/>
  <c r="AE14" i="1" s="1" a="1"/>
  <c r="AD12" i="1" s="1"/>
  <c r="C109" i="1"/>
  <c r="G33" i="1"/>
  <c r="Q89" i="1"/>
  <c r="Q81" i="1"/>
  <c r="V81" i="1" s="1"/>
  <c r="Q82" i="1"/>
  <c r="V82" i="1" s="1"/>
  <c r="Q83" i="1"/>
  <c r="V83" i="1" s="1"/>
  <c r="Q84" i="1"/>
  <c r="V84" i="1" s="1"/>
  <c r="V77" i="1"/>
  <c r="S57" i="1"/>
  <c r="Q57" i="1"/>
  <c r="P51" i="1"/>
  <c r="U56" i="1"/>
  <c r="S56" i="1"/>
  <c r="Q56" i="1"/>
  <c r="U55" i="1"/>
  <c r="S55" i="1"/>
  <c r="U54" i="1"/>
  <c r="Q54" i="1"/>
  <c r="S54" i="1"/>
  <c r="U53" i="1"/>
  <c r="S53" i="1"/>
  <c r="U52" i="1"/>
  <c r="S52" i="1"/>
  <c r="Q52" i="1"/>
  <c r="U51" i="1"/>
  <c r="S51" i="1"/>
  <c r="Q51" i="1"/>
  <c r="Q58" i="1"/>
  <c r="W58" i="1" s="1"/>
  <c r="U33" i="1"/>
  <c r="T33" i="1"/>
  <c r="V33" i="1" s="1"/>
  <c r="P45" i="1"/>
  <c r="G97" i="1"/>
  <c r="I97" i="1" s="1"/>
  <c r="G98" i="1"/>
  <c r="I98" i="1" s="1"/>
  <c r="G99" i="1"/>
  <c r="I99" i="1" s="1"/>
  <c r="G100" i="1"/>
  <c r="I100" i="1" s="1"/>
  <c r="G101" i="1"/>
  <c r="I101" i="1" s="1"/>
  <c r="F107" i="1"/>
  <c r="H107" i="1" s="1"/>
  <c r="X58" i="1"/>
  <c r="S84" i="1" s="1"/>
  <c r="X57" i="1"/>
  <c r="S83" i="1" s="1"/>
  <c r="X56" i="1"/>
  <c r="S82" i="1" s="1"/>
  <c r="X55" i="1"/>
  <c r="S81" i="1" s="1"/>
  <c r="X54" i="1"/>
  <c r="S80" i="1" s="1"/>
  <c r="X53" i="1"/>
  <c r="S79" i="1" s="1"/>
  <c r="X52" i="1"/>
  <c r="S78" i="1" s="1"/>
  <c r="X51" i="1"/>
  <c r="S77" i="1" s="1"/>
  <c r="U14" i="1"/>
  <c r="S14" i="1"/>
  <c r="Q14" i="1"/>
  <c r="U13" i="1"/>
  <c r="S13" i="1"/>
  <c r="Q13" i="1"/>
  <c r="U12" i="1"/>
  <c r="S12" i="1"/>
  <c r="Q12" i="1"/>
  <c r="U11" i="1"/>
  <c r="S11" i="1"/>
  <c r="Q11" i="1"/>
  <c r="U10" i="1"/>
  <c r="S10" i="1"/>
  <c r="Q10" i="1"/>
  <c r="U9" i="1"/>
  <c r="S9" i="1"/>
  <c r="Q9" i="1"/>
  <c r="U8" i="1"/>
  <c r="S8" i="1"/>
  <c r="Q8" i="1"/>
  <c r="U7" i="1"/>
  <c r="S7" i="1"/>
  <c r="Q7" i="1"/>
  <c r="P2" i="1"/>
  <c r="F35" i="1"/>
  <c r="B86" i="1"/>
  <c r="E72" i="1"/>
  <c r="K72" i="1" s="1"/>
  <c r="C73" i="1"/>
  <c r="K73" i="1" s="1"/>
  <c r="E74" i="1"/>
  <c r="C74" i="1"/>
  <c r="I76" i="1"/>
  <c r="J76" i="1"/>
  <c r="K76" i="1"/>
  <c r="C33" i="1"/>
  <c r="B22" i="1" s="1"/>
  <c r="B23" i="1" s="1"/>
  <c r="B24" i="1" s="1"/>
  <c r="B25" i="1" s="1"/>
  <c r="B26" i="1" s="1"/>
  <c r="B27" i="1" s="1"/>
  <c r="B28" i="1" s="1"/>
  <c r="B29" i="1" s="1"/>
  <c r="B30" i="1" s="1"/>
  <c r="C63" i="1"/>
  <c r="K77" i="1"/>
  <c r="J77" i="1"/>
  <c r="I77" i="1"/>
  <c r="K75" i="1"/>
  <c r="J75" i="1"/>
  <c r="I75" i="1"/>
  <c r="J74" i="1"/>
  <c r="J73" i="1"/>
  <c r="J72" i="1"/>
  <c r="C60" i="1"/>
  <c r="I22" i="1"/>
  <c r="I23" i="1"/>
  <c r="I24" i="1"/>
  <c r="I25" i="1"/>
  <c r="I26" i="1"/>
  <c r="I27" i="1"/>
  <c r="I28" i="1"/>
  <c r="I29" i="1"/>
  <c r="I30" i="1"/>
  <c r="I31" i="1"/>
  <c r="J22" i="1"/>
  <c r="E58" i="1" s="1"/>
  <c r="X14" i="1"/>
  <c r="R40" i="1" s="1"/>
  <c r="X13" i="1"/>
  <c r="R39" i="1" s="1"/>
  <c r="X12" i="1"/>
  <c r="R38" i="1" s="1"/>
  <c r="X11" i="1"/>
  <c r="R37" i="1" s="1"/>
  <c r="X10" i="1"/>
  <c r="R36" i="1" s="1"/>
  <c r="X9" i="1"/>
  <c r="R35" i="1" s="1"/>
  <c r="X8" i="1"/>
  <c r="R34" i="1" s="1"/>
  <c r="O8" i="1"/>
  <c r="O9" i="1" s="1"/>
  <c r="O10" i="1" s="1"/>
  <c r="O11" i="1" s="1"/>
  <c r="O12" i="1" s="1"/>
  <c r="O13" i="1" s="1"/>
  <c r="P16" i="1" s="1" a="1"/>
  <c r="P9" i="1" s="1"/>
  <c r="X7" i="1"/>
  <c r="J31" i="1"/>
  <c r="E60" i="1" s="1"/>
  <c r="K31" i="1"/>
  <c r="D60" i="1" s="1"/>
  <c r="K30" i="1"/>
  <c r="D50" i="1" s="1"/>
  <c r="J30" i="1"/>
  <c r="E50" i="1" s="1"/>
  <c r="K29" i="1"/>
  <c r="D51" i="1" s="1"/>
  <c r="J29" i="1"/>
  <c r="E51" i="1" s="1"/>
  <c r="K28" i="1"/>
  <c r="D52" i="1" s="1"/>
  <c r="J28" i="1"/>
  <c r="K27" i="1"/>
  <c r="D53" i="1" s="1"/>
  <c r="J27" i="1"/>
  <c r="K26" i="1"/>
  <c r="D54" i="1" s="1"/>
  <c r="J26" i="1"/>
  <c r="K25" i="1"/>
  <c r="D55" i="1" s="1"/>
  <c r="J25" i="1"/>
  <c r="E55" i="1" s="1"/>
  <c r="K24" i="1"/>
  <c r="D56" i="1" s="1"/>
  <c r="J24" i="1"/>
  <c r="E56" i="1" s="1"/>
  <c r="K23" i="1"/>
  <c r="D57" i="1" s="1"/>
  <c r="J23" i="1"/>
  <c r="E57" i="1" s="1"/>
  <c r="K22" i="1"/>
  <c r="D58" i="1" s="1"/>
  <c r="I9" i="1"/>
  <c r="K8" i="1"/>
  <c r="K9" i="1"/>
  <c r="K10" i="1"/>
  <c r="K11" i="1"/>
  <c r="K12" i="1"/>
  <c r="K13" i="1"/>
  <c r="K14" i="1"/>
  <c r="K15" i="1"/>
  <c r="J8" i="1"/>
  <c r="J9" i="1"/>
  <c r="J10" i="1"/>
  <c r="J11" i="1"/>
  <c r="J12" i="1"/>
  <c r="J13" i="1"/>
  <c r="J14" i="1"/>
  <c r="J15" i="1"/>
  <c r="I8" i="1"/>
  <c r="I10" i="1"/>
  <c r="I11" i="1"/>
  <c r="I12" i="1"/>
  <c r="I13" i="1"/>
  <c r="I14" i="1"/>
  <c r="I15" i="1"/>
  <c r="K7" i="1"/>
  <c r="J7" i="1"/>
  <c r="I7" i="1"/>
  <c r="B8" i="1"/>
  <c r="B9" i="1" s="1"/>
  <c r="B10" i="1" s="1"/>
  <c r="B11" i="1" s="1"/>
  <c r="B12" i="1" s="1"/>
  <c r="B13" i="1" s="1"/>
  <c r="B14" i="1" s="1"/>
  <c r="B15" i="1" s="1"/>
  <c r="BP72" i="1" l="1"/>
  <c r="BZ72" i="1"/>
  <c r="CB72" i="1" s="1"/>
  <c r="CI72" i="1"/>
  <c r="CK72" i="1" s="1"/>
  <c r="CA29" i="1"/>
  <c r="CC29" i="1" s="1"/>
  <c r="BR34" i="1"/>
  <c r="BT34" i="1" s="1"/>
  <c r="CV8" i="1"/>
  <c r="CV16" i="1" s="1"/>
  <c r="CV11" i="1"/>
  <c r="CV19" i="1" s="1"/>
  <c r="CV10" i="1"/>
  <c r="CV18" i="1" s="1"/>
  <c r="CV9" i="1"/>
  <c r="CV17" i="1" s="1"/>
  <c r="CT9" i="1"/>
  <c r="CV7" i="1" s="1"/>
  <c r="CV15" i="1" s="1"/>
  <c r="CV27" i="1"/>
  <c r="CV35" i="1" s="1"/>
  <c r="CV26" i="1"/>
  <c r="CV34" i="1" s="1"/>
  <c r="CV28" i="1"/>
  <c r="CV36" i="1" s="1"/>
  <c r="CT27" i="1"/>
  <c r="CV25" i="1" s="1"/>
  <c r="CV33" i="1" s="1"/>
  <c r="CV29" i="1"/>
  <c r="CV37" i="1" s="1"/>
  <c r="BQ73" i="1"/>
  <c r="BS73" i="1" s="1"/>
  <c r="BZ73" i="1"/>
  <c r="CB73" i="1" s="1"/>
  <c r="CI73" i="1"/>
  <c r="CK73" i="1" s="1"/>
  <c r="BR30" i="1"/>
  <c r="BT30" i="1" s="1"/>
  <c r="CA30" i="1"/>
  <c r="CC30" i="1" s="1"/>
  <c r="CJ30" i="1"/>
  <c r="CL30" i="1" s="1"/>
  <c r="BB41" i="1"/>
  <c r="BD41" i="1" s="1"/>
  <c r="BZ75" i="1"/>
  <c r="CB75" i="1" s="1"/>
  <c r="BP74" i="1"/>
  <c r="CI33" i="1"/>
  <c r="BP73" i="1"/>
  <c r="BR33" i="1"/>
  <c r="BT33" i="1" s="1"/>
  <c r="CA33" i="1"/>
  <c r="CC33" i="1" s="1"/>
  <c r="BQ32" i="1"/>
  <c r="BZ32" i="1"/>
  <c r="CJ32" i="1"/>
  <c r="CL32" i="1" s="1"/>
  <c r="BQ31" i="1"/>
  <c r="CA31" i="1"/>
  <c r="CC31" i="1" s="1"/>
  <c r="CJ31" i="1"/>
  <c r="CL31" i="1" s="1"/>
  <c r="BQ75" i="1"/>
  <c r="BS75" i="1" s="1"/>
  <c r="CI75" i="1"/>
  <c r="CK75" i="1" s="1"/>
  <c r="BR29" i="1"/>
  <c r="BT29" i="1" s="1"/>
  <c r="CJ29" i="1"/>
  <c r="CL29" i="1" s="1"/>
  <c r="CI74" i="1"/>
  <c r="CK74" i="1" s="1"/>
  <c r="CI29" i="1"/>
  <c r="BB42" i="1"/>
  <c r="BD42" i="1" s="1"/>
  <c r="BQ74" i="1"/>
  <c r="BS74" i="1" s="1"/>
  <c r="BA41" i="1"/>
  <c r="BR32" i="1"/>
  <c r="BT32" i="1" s="1"/>
  <c r="BQ72" i="1"/>
  <c r="BS72" i="1" s="1"/>
  <c r="W9" i="1"/>
  <c r="Y13" i="1"/>
  <c r="Q39" i="1" s="1"/>
  <c r="S39" i="1" s="1"/>
  <c r="CH74" i="1"/>
  <c r="BQ77" i="1"/>
  <c r="BS77" i="1" s="1"/>
  <c r="AY28" i="1" a="1"/>
  <c r="AY28" i="1" s="1"/>
  <c r="BQ76" i="1"/>
  <c r="BS76" i="1" s="1"/>
  <c r="BN21" i="1"/>
  <c r="BN13" i="1"/>
  <c r="BN34" i="1" s="1"/>
  <c r="BW34" i="1" s="1"/>
  <c r="CF34" i="1" s="1"/>
  <c r="CK34" i="1" s="1"/>
  <c r="BN122" i="1"/>
  <c r="BN130" i="1" s="1"/>
  <c r="BN123" i="1"/>
  <c r="BN131" i="1" s="1"/>
  <c r="BN125" i="1"/>
  <c r="BN133" i="1" s="1"/>
  <c r="BN124" i="1"/>
  <c r="BN132" i="1" s="1"/>
  <c r="BL123" i="1"/>
  <c r="BN121" i="1" s="1"/>
  <c r="BN129" i="1" s="1"/>
  <c r="BN107" i="1"/>
  <c r="BN115" i="1" s="1"/>
  <c r="BN106" i="1"/>
  <c r="BN114" i="1" s="1"/>
  <c r="BN105" i="1"/>
  <c r="BN113" i="1" s="1"/>
  <c r="BN104" i="1"/>
  <c r="BN112" i="1" s="1"/>
  <c r="BK11" i="1"/>
  <c r="BN62" i="1" s="1"/>
  <c r="BN63" i="1"/>
  <c r="BN64" i="1"/>
  <c r="BN65" i="1"/>
  <c r="BN66" i="1"/>
  <c r="BN67" i="1"/>
  <c r="AN10" i="1"/>
  <c r="AQ10" i="1" s="1"/>
  <c r="AT10" i="1" s="1"/>
  <c r="BP77" i="1"/>
  <c r="BZ74" i="1"/>
  <c r="CB74" i="1" s="1"/>
  <c r="CI76" i="1"/>
  <c r="CK76" i="1" s="1"/>
  <c r="AX42" i="1"/>
  <c r="BC42" i="1" s="1"/>
  <c r="BP76" i="1"/>
  <c r="CJ33" i="1"/>
  <c r="CL33" i="1" s="1"/>
  <c r="AX43" i="1"/>
  <c r="BC43" i="1" s="1"/>
  <c r="BP75" i="1"/>
  <c r="AX44" i="1"/>
  <c r="BC44" i="1" s="1"/>
  <c r="AN12" i="1"/>
  <c r="AQ12" i="1" s="1"/>
  <c r="AS12" i="1" s="1"/>
  <c r="BY76" i="1"/>
  <c r="CI34" i="1"/>
  <c r="CA34" i="1"/>
  <c r="CC34" i="1" s="1"/>
  <c r="CI32" i="1"/>
  <c r="BR31" i="1"/>
  <c r="BT31" i="1" s="1"/>
  <c r="BZ29" i="1"/>
  <c r="BZ33" i="1"/>
  <c r="CI31" i="1"/>
  <c r="BQ30" i="1"/>
  <c r="CI30" i="1"/>
  <c r="CA32" i="1"/>
  <c r="CC32" i="1" s="1"/>
  <c r="BQ29" i="1"/>
  <c r="BQ33" i="1"/>
  <c r="CJ34" i="1"/>
  <c r="CL34" i="1" s="1"/>
  <c r="BZ30" i="1"/>
  <c r="BZ34" i="1"/>
  <c r="BZ31" i="1"/>
  <c r="BQ34" i="1"/>
  <c r="BY74" i="1"/>
  <c r="CI77" i="1"/>
  <c r="CK77" i="1" s="1"/>
  <c r="BY77" i="1"/>
  <c r="CH77" i="1"/>
  <c r="CH72" i="1"/>
  <c r="CH76" i="1"/>
  <c r="CH73" i="1"/>
  <c r="CH75" i="1"/>
  <c r="BZ77" i="1"/>
  <c r="CB77" i="1" s="1"/>
  <c r="BZ76" i="1"/>
  <c r="CB76" i="1" s="1"/>
  <c r="BY72" i="1"/>
  <c r="BY73" i="1"/>
  <c r="BY75" i="1"/>
  <c r="BN20" i="1"/>
  <c r="BN19" i="1"/>
  <c r="BN9" i="1"/>
  <c r="BN30" i="1" s="1"/>
  <c r="BW30" i="1" s="1"/>
  <c r="CF30" i="1" s="1"/>
  <c r="CK30" i="1" s="1"/>
  <c r="BN12" i="1"/>
  <c r="BN33" i="1" s="1"/>
  <c r="BN18" i="1"/>
  <c r="BN17" i="1"/>
  <c r="BN8" i="1"/>
  <c r="BN29" i="1" s="1"/>
  <c r="BN11" i="1"/>
  <c r="BN32" i="1" s="1"/>
  <c r="BN10" i="1"/>
  <c r="BN31" i="1" s="1"/>
  <c r="BW31" i="1" s="1"/>
  <c r="CF31" i="1" s="1"/>
  <c r="CK31" i="1" s="1"/>
  <c r="BD43" i="1"/>
  <c r="BA42" i="1"/>
  <c r="BA44" i="1"/>
  <c r="BA43" i="1"/>
  <c r="B36" i="1"/>
  <c r="D44" i="1" s="1"/>
  <c r="F44" i="1" s="1"/>
  <c r="C58" i="1" s="1"/>
  <c r="H58" i="1" s="1"/>
  <c r="AN7" i="1"/>
  <c r="AQ7" i="1" s="1"/>
  <c r="AT7" i="1" s="1"/>
  <c r="AN9" i="1"/>
  <c r="AQ9" i="1" s="1"/>
  <c r="AS9" i="1" s="1"/>
  <c r="Y53" i="1"/>
  <c r="R79" i="1" s="1"/>
  <c r="U79" i="1" s="1"/>
  <c r="W79" i="1" s="1"/>
  <c r="AN8" i="1"/>
  <c r="AQ8" i="1" s="1"/>
  <c r="AS8" i="1" s="1"/>
  <c r="W56" i="1"/>
  <c r="Y12" i="1"/>
  <c r="Q38" i="1" s="1"/>
  <c r="T38" i="1" s="1"/>
  <c r="V38" i="1" s="1"/>
  <c r="C42" i="1"/>
  <c r="E38" i="1" s="1"/>
  <c r="G38" i="1" s="1"/>
  <c r="W51" i="1"/>
  <c r="Y56" i="1"/>
  <c r="R82" i="1" s="1"/>
  <c r="U82" i="1" s="1"/>
  <c r="W82" i="1" s="1"/>
  <c r="AN11" i="1"/>
  <c r="AQ11" i="1" s="1"/>
  <c r="AR11" i="1" s="1"/>
  <c r="AE14" i="1"/>
  <c r="AD7" i="1" s="1"/>
  <c r="AD8" i="1"/>
  <c r="AD9" i="1"/>
  <c r="AD10" i="1"/>
  <c r="AD11" i="1"/>
  <c r="B81" i="1"/>
  <c r="O51" i="1" a="1"/>
  <c r="I74" i="1"/>
  <c r="W8" i="1"/>
  <c r="Y10" i="1"/>
  <c r="Q36" i="1" s="1"/>
  <c r="T36" i="1" s="1"/>
  <c r="V36" i="1" s="1"/>
  <c r="Y14" i="1"/>
  <c r="Q40" i="1" s="1"/>
  <c r="S40" i="1" s="1"/>
  <c r="I73" i="1"/>
  <c r="L73" i="1" s="1"/>
  <c r="M76" i="1"/>
  <c r="C85" i="1" s="1"/>
  <c r="L76" i="1"/>
  <c r="Y57" i="1"/>
  <c r="R83" i="1" s="1"/>
  <c r="U83" i="1" s="1"/>
  <c r="W83" i="1" s="1"/>
  <c r="Y8" i="1"/>
  <c r="Q34" i="1" s="1"/>
  <c r="T34" i="1" s="1"/>
  <c r="V34" i="1" s="1"/>
  <c r="W12" i="1"/>
  <c r="K74" i="1"/>
  <c r="M74" i="1" s="1"/>
  <c r="C83" i="1" s="1"/>
  <c r="Y7" i="1"/>
  <c r="AA7" i="1" s="1"/>
  <c r="S33" i="1" s="1"/>
  <c r="P16" i="1"/>
  <c r="P7" i="1" s="1"/>
  <c r="P11" i="1"/>
  <c r="P37" i="1" s="1"/>
  <c r="U37" i="1" s="1"/>
  <c r="P12" i="1"/>
  <c r="P38" i="1" s="1"/>
  <c r="U38" i="1" s="1"/>
  <c r="P14" i="1"/>
  <c r="P40" i="1" s="1"/>
  <c r="U40" i="1" s="1"/>
  <c r="P13" i="1"/>
  <c r="P39" i="1" s="1"/>
  <c r="U39" i="1" s="1"/>
  <c r="P8" i="1"/>
  <c r="P34" i="1" s="1"/>
  <c r="U34" i="1" s="1"/>
  <c r="P35" i="1"/>
  <c r="U35" i="1" s="1"/>
  <c r="P10" i="1"/>
  <c r="P36" i="1" s="1"/>
  <c r="U36" i="1" s="1"/>
  <c r="W13" i="1"/>
  <c r="W57" i="1"/>
  <c r="W55" i="1"/>
  <c r="W14" i="1"/>
  <c r="W10" i="1"/>
  <c r="W11" i="1"/>
  <c r="G55" i="1"/>
  <c r="I55" i="1" s="1"/>
  <c r="Y9" i="1"/>
  <c r="Q35" i="1" s="1"/>
  <c r="S35" i="1" s="1"/>
  <c r="Y51" i="1"/>
  <c r="W54" i="1"/>
  <c r="Y52" i="1"/>
  <c r="Y55" i="1"/>
  <c r="W53" i="1"/>
  <c r="Y54" i="1"/>
  <c r="Y58" i="1"/>
  <c r="W52" i="1"/>
  <c r="Y11" i="1"/>
  <c r="W7" i="1"/>
  <c r="I72" i="1"/>
  <c r="L72" i="1" s="1"/>
  <c r="F56" i="1"/>
  <c r="F50" i="1"/>
  <c r="L77" i="1"/>
  <c r="M77" i="1"/>
  <c r="C86" i="1" s="1"/>
  <c r="M73" i="1"/>
  <c r="C82" i="1" s="1"/>
  <c r="F51" i="1"/>
  <c r="C41" i="1"/>
  <c r="E39" i="1" s="1"/>
  <c r="G39" i="1" s="1"/>
  <c r="L75" i="1"/>
  <c r="G56" i="1"/>
  <c r="I56" i="1" s="1"/>
  <c r="L15" i="1"/>
  <c r="G58" i="1"/>
  <c r="I58" i="1" s="1"/>
  <c r="G51" i="1"/>
  <c r="I51" i="1" s="1"/>
  <c r="F58" i="1"/>
  <c r="M75" i="1"/>
  <c r="C84" i="1" s="1"/>
  <c r="F57" i="1"/>
  <c r="F55" i="1"/>
  <c r="C40" i="1"/>
  <c r="E40" i="1" s="1"/>
  <c r="G40" i="1" s="1"/>
  <c r="M72" i="1"/>
  <c r="C81" i="1" s="1"/>
  <c r="E54" i="1"/>
  <c r="G50" i="1"/>
  <c r="I50" i="1" s="1"/>
  <c r="G57" i="1"/>
  <c r="I57" i="1" s="1"/>
  <c r="E53" i="1"/>
  <c r="E52" i="1"/>
  <c r="L7" i="1"/>
  <c r="M7" i="1"/>
  <c r="L14" i="1"/>
  <c r="C45" i="1"/>
  <c r="E35" i="1" s="1"/>
  <c r="C38" i="1"/>
  <c r="E42" i="1" s="1"/>
  <c r="G42" i="1" s="1"/>
  <c r="C44" i="1"/>
  <c r="E36" i="1" s="1"/>
  <c r="G36" i="1" s="1"/>
  <c r="M23" i="1"/>
  <c r="C43" i="1"/>
  <c r="E37" i="1" s="1"/>
  <c r="G37" i="1" s="1"/>
  <c r="C36" i="1"/>
  <c r="E44" i="1" s="1"/>
  <c r="G44" i="1" s="1"/>
  <c r="C39" i="1"/>
  <c r="E41" i="1" s="1"/>
  <c r="G41" i="1" s="1"/>
  <c r="M9" i="1"/>
  <c r="C37" i="1"/>
  <c r="E43" i="1" s="1"/>
  <c r="G43" i="1" s="1"/>
  <c r="L13" i="1"/>
  <c r="L23" i="1"/>
  <c r="L12" i="1"/>
  <c r="M14" i="1"/>
  <c r="L10" i="1"/>
  <c r="M12" i="1"/>
  <c r="M13" i="1"/>
  <c r="L8" i="1"/>
  <c r="M25" i="1"/>
  <c r="L25" i="1"/>
  <c r="L26" i="1"/>
  <c r="M26" i="1"/>
  <c r="L27" i="1"/>
  <c r="M27" i="1"/>
  <c r="L29" i="1"/>
  <c r="M29" i="1"/>
  <c r="L30" i="1"/>
  <c r="M30" i="1"/>
  <c r="L24" i="1"/>
  <c r="M15" i="1"/>
  <c r="L11" i="1"/>
  <c r="M24" i="1"/>
  <c r="M28" i="1"/>
  <c r="L22" i="1"/>
  <c r="M22" i="1"/>
  <c r="L9" i="1"/>
  <c r="L28" i="1"/>
  <c r="M11" i="1"/>
  <c r="M10" i="1"/>
  <c r="M8" i="1"/>
  <c r="M31" i="1"/>
  <c r="L31" i="1"/>
  <c r="Z53" i="1" l="1"/>
  <c r="AA53" i="1"/>
  <c r="T79" i="1" s="1"/>
  <c r="Z13" i="1"/>
  <c r="T39" i="1"/>
  <c r="V39" i="1" s="1"/>
  <c r="B37" i="1"/>
  <c r="B38" i="1" s="1"/>
  <c r="B74" i="1" s="1"/>
  <c r="CB31" i="1"/>
  <c r="AA13" i="1"/>
  <c r="CB34" i="1"/>
  <c r="BS31" i="1"/>
  <c r="BS30" i="1"/>
  <c r="BW32" i="1"/>
  <c r="BS32" i="1"/>
  <c r="BM77" i="1"/>
  <c r="BN59" i="1"/>
  <c r="BM76" i="1"/>
  <c r="BN58" i="1"/>
  <c r="BM74" i="1"/>
  <c r="BN56" i="1"/>
  <c r="BW33" i="1"/>
  <c r="BS33" i="1"/>
  <c r="BS34" i="1"/>
  <c r="CB30" i="1"/>
  <c r="BM73" i="1"/>
  <c r="BN55" i="1"/>
  <c r="BS29" i="1"/>
  <c r="BW29" i="1"/>
  <c r="BM75" i="1"/>
  <c r="BN57" i="1"/>
  <c r="BM72" i="1"/>
  <c r="BN54" i="1"/>
  <c r="Z12" i="1"/>
  <c r="S38" i="1"/>
  <c r="AA12" i="1"/>
  <c r="AA57" i="1"/>
  <c r="T83" i="1" s="1"/>
  <c r="Z57" i="1"/>
  <c r="T40" i="1"/>
  <c r="V40" i="1" s="1"/>
  <c r="L74" i="1"/>
  <c r="Z10" i="1"/>
  <c r="Z56" i="1"/>
  <c r="AA8" i="1"/>
  <c r="AA56" i="1"/>
  <c r="T82" i="1" s="1"/>
  <c r="AR12" i="1"/>
  <c r="AT12" i="1"/>
  <c r="AS11" i="1"/>
  <c r="AT11" i="1"/>
  <c r="AR10" i="1"/>
  <c r="AS10" i="1"/>
  <c r="AR9" i="1"/>
  <c r="AT9" i="1"/>
  <c r="AR8" i="1"/>
  <c r="AT8" i="1"/>
  <c r="AR7" i="1"/>
  <c r="AS7" i="1"/>
  <c r="O51" i="1"/>
  <c r="P53" i="1"/>
  <c r="Q79" i="1" s="1"/>
  <c r="V79" i="1" s="1"/>
  <c r="P52" i="1"/>
  <c r="Q78" i="1" s="1"/>
  <c r="V78" i="1" s="1"/>
  <c r="P54" i="1"/>
  <c r="Q80" i="1" s="1"/>
  <c r="V80" i="1" s="1"/>
  <c r="AA55" i="1"/>
  <c r="T81" i="1" s="1"/>
  <c r="R81" i="1"/>
  <c r="U81" i="1" s="1"/>
  <c r="W81" i="1" s="1"/>
  <c r="AA54" i="1"/>
  <c r="T80" i="1" s="1"/>
  <c r="R80" i="1"/>
  <c r="U80" i="1" s="1"/>
  <c r="W80" i="1" s="1"/>
  <c r="Z58" i="1"/>
  <c r="R84" i="1"/>
  <c r="U84" i="1" s="1"/>
  <c r="W84" i="1" s="1"/>
  <c r="Z14" i="1"/>
  <c r="AA14" i="1"/>
  <c r="AA51" i="1"/>
  <c r="T77" i="1" s="1"/>
  <c r="R77" i="1"/>
  <c r="U77" i="1" s="1"/>
  <c r="W77" i="1" s="1"/>
  <c r="S36" i="1"/>
  <c r="AA52" i="1"/>
  <c r="T78" i="1" s="1"/>
  <c r="R78" i="1"/>
  <c r="U78" i="1" s="1"/>
  <c r="W78" i="1" s="1"/>
  <c r="AA10" i="1"/>
  <c r="Z51" i="1"/>
  <c r="T35" i="1"/>
  <c r="V35" i="1" s="1"/>
  <c r="Z11" i="1"/>
  <c r="Q37" i="1"/>
  <c r="AA9" i="1"/>
  <c r="Z7" i="1"/>
  <c r="AA11" i="1"/>
  <c r="Z9" i="1"/>
  <c r="Z8" i="1"/>
  <c r="S34" i="1"/>
  <c r="G35" i="1"/>
  <c r="F60" i="1" s="1"/>
  <c r="Z52" i="1"/>
  <c r="Z55" i="1"/>
  <c r="AA58" i="1"/>
  <c r="T84" i="1" s="1"/>
  <c r="Z54" i="1"/>
  <c r="E81" i="1" a="1"/>
  <c r="F52" i="1"/>
  <c r="G52" i="1"/>
  <c r="I52" i="1" s="1"/>
  <c r="G53" i="1"/>
  <c r="I53" i="1" s="1"/>
  <c r="F53" i="1"/>
  <c r="G54" i="1"/>
  <c r="I54" i="1" s="1"/>
  <c r="F54" i="1"/>
  <c r="D42" i="1"/>
  <c r="F42" i="1" s="1"/>
  <c r="C56" i="1" s="1"/>
  <c r="H56" i="1" s="1"/>
  <c r="B73" i="1" l="1"/>
  <c r="B39" i="1"/>
  <c r="B75" i="1" s="1"/>
  <c r="D43" i="1"/>
  <c r="F43" i="1" s="1"/>
  <c r="C57" i="1" s="1"/>
  <c r="H57" i="1" s="1"/>
  <c r="BV72" i="1"/>
  <c r="BR72" i="1"/>
  <c r="CB29" i="1"/>
  <c r="CF29" i="1"/>
  <c r="CK29" i="1" s="1"/>
  <c r="BV76" i="1"/>
  <c r="BR76" i="1"/>
  <c r="BV77" i="1"/>
  <c r="BR77" i="1"/>
  <c r="CF33" i="1"/>
  <c r="CK33" i="1" s="1"/>
  <c r="CB33" i="1"/>
  <c r="BR75" i="1"/>
  <c r="BV75" i="1"/>
  <c r="BR74" i="1"/>
  <c r="BV74" i="1"/>
  <c r="BR73" i="1"/>
  <c r="BV73" i="1"/>
  <c r="CF32" i="1"/>
  <c r="CK32" i="1" s="1"/>
  <c r="CB32" i="1"/>
  <c r="S37" i="1"/>
  <c r="T37" i="1"/>
  <c r="V37" i="1" s="1"/>
  <c r="E81" i="1"/>
  <c r="G81" i="1" s="1"/>
  <c r="E107" i="1" s="1"/>
  <c r="G86" i="1"/>
  <c r="F101" i="1" s="1"/>
  <c r="G85" i="1"/>
  <c r="F100" i="1" s="1"/>
  <c r="G84" i="1"/>
  <c r="F99" i="1" s="1"/>
  <c r="G83" i="1"/>
  <c r="F98" i="1" s="1"/>
  <c r="G82" i="1"/>
  <c r="F97" i="1" s="1"/>
  <c r="B40" i="1"/>
  <c r="B76" i="1" s="1"/>
  <c r="D41" i="1"/>
  <c r="F41" i="1" s="1"/>
  <c r="C55" i="1" s="1"/>
  <c r="H55" i="1" s="1"/>
  <c r="CA77" i="1" l="1"/>
  <c r="CE77" i="1"/>
  <c r="CJ77" i="1" s="1"/>
  <c r="CE76" i="1"/>
  <c r="CJ76" i="1" s="1"/>
  <c r="CA76" i="1"/>
  <c r="CE74" i="1"/>
  <c r="CJ74" i="1" s="1"/>
  <c r="CA74" i="1"/>
  <c r="CE75" i="1"/>
  <c r="CJ75" i="1" s="1"/>
  <c r="CA75" i="1"/>
  <c r="CA73" i="1"/>
  <c r="CE73" i="1"/>
  <c r="CJ73" i="1" s="1"/>
  <c r="CA72" i="1"/>
  <c r="CE72" i="1"/>
  <c r="CJ72" i="1" s="1"/>
  <c r="B41" i="1"/>
  <c r="D40" i="1"/>
  <c r="F40" i="1" s="1"/>
  <c r="C54" i="1" s="1"/>
  <c r="H54" i="1" s="1"/>
  <c r="B42" i="1" l="1"/>
  <c r="D39" i="1"/>
  <c r="F39" i="1" s="1"/>
  <c r="C53" i="1" s="1"/>
  <c r="H53" i="1" s="1"/>
  <c r="B43" i="1" l="1"/>
  <c r="D38" i="1"/>
  <c r="F38" i="1" s="1"/>
  <c r="C52" i="1" s="1"/>
  <c r="H52" i="1" s="1"/>
  <c r="D37" i="1" l="1"/>
  <c r="F37" i="1" s="1"/>
  <c r="C51" i="1" s="1"/>
  <c r="H51" i="1" s="1"/>
  <c r="B44" i="1"/>
  <c r="D36" i="1" s="1"/>
  <c r="F36" i="1" s="1"/>
  <c r="C50" i="1" s="1"/>
  <c r="H50" i="1" s="1"/>
  <c r="B82" i="1"/>
  <c r="B83" i="1" s="1"/>
  <c r="B84" i="1" s="1"/>
  <c r="B85" i="1" s="1"/>
  <c r="D81" i="1" s="1" a="1"/>
  <c r="D81" i="1" l="1"/>
  <c r="F81" i="1" s="1"/>
  <c r="B107" i="1" s="1"/>
  <c r="G107" i="1" s="1"/>
  <c r="F86" i="1"/>
  <c r="C101" i="1" s="1"/>
  <c r="H101" i="1" s="1"/>
  <c r="F85" i="1"/>
  <c r="C100" i="1" s="1"/>
  <c r="H100" i="1" s="1"/>
  <c r="F84" i="1"/>
  <c r="C99" i="1" s="1"/>
  <c r="H99" i="1" s="1"/>
  <c r="F83" i="1"/>
  <c r="C98" i="1" s="1"/>
  <c r="H98" i="1" s="1"/>
  <c r="F82" i="1"/>
  <c r="C97" i="1" s="1"/>
  <c r="H9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<sst xmlns="http://schemas.openxmlformats.org/spreadsheetml/2006/main" count="980" uniqueCount="146">
  <si>
    <t>Concentration (mg/mL)</t>
  </si>
  <si>
    <t>Alive 1</t>
  </si>
  <si>
    <t>Alive 2</t>
  </si>
  <si>
    <t>Alive 3</t>
  </si>
  <si>
    <t>Total Alive</t>
  </si>
  <si>
    <t>Total larvae</t>
  </si>
  <si>
    <t>intoxicated/dead 3</t>
  </si>
  <si>
    <t>intoxicated/dead 1</t>
  </si>
  <si>
    <t>intoxicated/dead 2</t>
  </si>
  <si>
    <t>Total intoxicated/dead</t>
  </si>
  <si>
    <t>Trial 1</t>
  </si>
  <si>
    <t>Trial 2</t>
  </si>
  <si>
    <t>Trial 3</t>
  </si>
  <si>
    <t xml:space="preserve">Alive </t>
  </si>
  <si>
    <t xml:space="preserve">intoxicated/dead </t>
  </si>
  <si>
    <t>Calculations</t>
  </si>
  <si>
    <t>% alive</t>
  </si>
  <si>
    <t>% dead</t>
  </si>
  <si>
    <t>orange fill = fail</t>
  </si>
  <si>
    <t xml:space="preserve"> blue fill = good</t>
  </si>
  <si>
    <t>Total</t>
  </si>
  <si>
    <t>Replicate 1</t>
  </si>
  <si>
    <t>Replicate 2</t>
  </si>
  <si>
    <t>Replicate 3</t>
  </si>
  <si>
    <t>Probit analysis</t>
  </si>
  <si>
    <t>Dead</t>
  </si>
  <si>
    <t>[] µg/mL</t>
  </si>
  <si>
    <t>control: excluded from analysis</t>
  </si>
  <si>
    <t>corrected %</t>
  </si>
  <si>
    <t>log(10) conc.</t>
  </si>
  <si>
    <t>probit</t>
  </si>
  <si>
    <t>LC50 = 10^((5 - b)/m)</t>
  </si>
  <si>
    <t>µL/mL</t>
  </si>
  <si>
    <t>LC50=</t>
  </si>
  <si>
    <t>Accidentally starved them</t>
  </si>
  <si>
    <t>25(1)=x(18)</t>
  </si>
  <si>
    <t>10(x)=18(4)</t>
  </si>
  <si>
    <r>
      <t xml:space="preserve">40 Hr 4.7 g/L Not PS Solution Toxicity Assay </t>
    </r>
    <r>
      <rPr>
        <b/>
        <sz val="12"/>
        <color theme="1"/>
        <rFont val="Aptos Narrow"/>
        <scheme val="minor"/>
      </rPr>
      <t>Attempt 2</t>
    </r>
  </si>
  <si>
    <r>
      <t xml:space="preserve">40 Hr 4.7 g/L Aged PS Solution Toxicity Assay </t>
    </r>
    <r>
      <rPr>
        <b/>
        <sz val="12"/>
        <color theme="1"/>
        <rFont val="Aptos Narrow"/>
        <scheme val="minor"/>
      </rPr>
      <t>Attempt 3</t>
    </r>
  </si>
  <si>
    <t>Control not included</t>
  </si>
  <si>
    <t>mg/mL</t>
  </si>
  <si>
    <t>µg/mL</t>
  </si>
  <si>
    <r>
      <t xml:space="preserve">40 Hr 4.7 g/L PS Solution Toxicity Assay </t>
    </r>
    <r>
      <rPr>
        <b/>
        <sz val="12"/>
        <color theme="1"/>
        <rFont val="Aptos Narrow"/>
        <scheme val="minor"/>
      </rPr>
      <t>Attempt 1</t>
    </r>
  </si>
  <si>
    <t>Concentraton (mg/mL)</t>
  </si>
  <si>
    <t>Alive</t>
  </si>
  <si>
    <t>Intoxicated</t>
  </si>
  <si>
    <t>Total Intoxicated</t>
  </si>
  <si>
    <t>Total Dead</t>
  </si>
  <si>
    <t>% Alive</t>
  </si>
  <si>
    <t>% Intoxicated</t>
  </si>
  <si>
    <t>% Dead</t>
  </si>
  <si>
    <t>Total Nauplii</t>
  </si>
  <si>
    <t>Aged PS MNPs</t>
  </si>
  <si>
    <t>25*1=0.12x</t>
  </si>
  <si>
    <t xml:space="preserve"> </t>
  </si>
  <si>
    <r>
      <t xml:space="preserve">40 Hr 1.7 g/L Aged PS Solution Toxicity Assay </t>
    </r>
    <r>
      <rPr>
        <b/>
        <sz val="12"/>
        <color theme="1"/>
        <rFont val="Aptos Narrow"/>
        <scheme val="minor"/>
      </rPr>
      <t>Attempt 2</t>
    </r>
  </si>
  <si>
    <r>
      <t xml:space="preserve">40 Hr 1.7 g/L Aged PS Solution Toxicity Assay </t>
    </r>
    <r>
      <rPr>
        <b/>
        <sz val="12"/>
        <color theme="1"/>
        <rFont val="Aptos Narrow"/>
        <scheme val="minor"/>
      </rPr>
      <t>Attempt 1</t>
    </r>
  </si>
  <si>
    <t>0.12mL plastic solution + 17.88 mL salt water</t>
  </si>
  <si>
    <t>Used hemocytometer to count # particles in most concentrated soln. of tox. Assay.</t>
  </si>
  <si>
    <t>particles/mL = (MNPs in 4 large squares/4)*20*18(10^4)</t>
  </si>
  <si>
    <t>MNPs/square</t>
  </si>
  <si>
    <t>particles/mL</t>
  </si>
  <si>
    <t>plastics look similar size to nauplii. Are they able to eat them?</t>
  </si>
  <si>
    <t>Type of Glassware</t>
  </si>
  <si>
    <t>Test Tube Shaking</t>
  </si>
  <si>
    <t>[] mg/mL</t>
  </si>
  <si>
    <t># dead</t>
  </si>
  <si>
    <t># alive</t>
  </si>
  <si>
    <t xml:space="preserve">Total </t>
  </si>
  <si>
    <t>Test Tube Bubbling</t>
  </si>
  <si>
    <t>Small Petri Dish</t>
  </si>
  <si>
    <t>Regular Petri Dish</t>
  </si>
  <si>
    <t>TTS</t>
  </si>
  <si>
    <t>SPD</t>
  </si>
  <si>
    <t>RPD</t>
  </si>
  <si>
    <t>TTB</t>
  </si>
  <si>
    <t>*in SPD 0, they were all moving but intoxicated. In SPD 0.476, all were completely dead.</t>
  </si>
  <si>
    <t>*particles stay in suspension much better in SPD than in TTS. Maybe try to find glass ones? Death could be due to plastic they were in.</t>
  </si>
  <si>
    <t>*in TTB, 4.28 and 0.48 stopped bubbling when I went in to check on them after about 24 hours. I'm not sure when the bubbling stopped working.</t>
  </si>
  <si>
    <t>*Am dumb and forgot to put nauplii in tubes from RPD. This experiment seemed the most fruitful so far and will most likely redo it with more replicates. Have to see how TTB works.</t>
  </si>
  <si>
    <t>RPD Graphs</t>
  </si>
  <si>
    <t>TTB PS Aged</t>
  </si>
  <si>
    <t>RPD PS Aged</t>
  </si>
  <si>
    <t xml:space="preserve">RPD PS </t>
  </si>
  <si>
    <t>for each dilution, want to use 4mL in each container. This means stock solution should be 24mL and use 8mL of it for the dilutions + 16mL seawater</t>
  </si>
  <si>
    <t>µL</t>
  </si>
  <si>
    <t xml:space="preserve">4 mL in RPD seems like too much volume. Not as much death as in 3mL. Plastic sinking still? </t>
  </si>
  <si>
    <t>this one I did late by accident so death could be due to hunger</t>
  </si>
  <si>
    <t>bubbling killed the nauplii. Need to check salinity but can't find the salinity checker thingy.</t>
  </si>
  <si>
    <t>For some reason control died but the very concentrated didn’t? but there was so much depris that I can't really tell what is plastic vs nauplii</t>
  </si>
  <si>
    <t xml:space="preserve">The plastics in the aged version were more easily in suspension than the plastics in the regular version. The particles were also smaller therefore were easier for the nauplii to injest. </t>
  </si>
  <si>
    <t>Series 1</t>
  </si>
  <si>
    <t>Series 2</t>
  </si>
  <si>
    <t>Series 3</t>
  </si>
  <si>
    <t>Issues with suspension!</t>
  </si>
  <si>
    <t>Series 4 is from the original test of RPD</t>
  </si>
  <si>
    <t>issues with suspension</t>
  </si>
  <si>
    <t>c</t>
  </si>
  <si>
    <t xml:space="preserve">Calculations </t>
  </si>
  <si>
    <t>RPD Pure PS</t>
  </si>
  <si>
    <t>*Dan says for the particles, need to know size distribution from the biggest to the smallest. Can't see the small ones. Depend on technology in Durham to see the small particles.</t>
  </si>
  <si>
    <t>*Start out with total grams that were put into the 32 mLs pre UVC</t>
  </si>
  <si>
    <t>gives 167 µg/mL</t>
  </si>
  <si>
    <t xml:space="preserve">36 µL in 17.97 </t>
  </si>
  <si>
    <r>
      <t>0.036</t>
    </r>
    <r>
      <rPr>
        <sz val="12"/>
        <color theme="1"/>
        <rFont val="Aptos Narrow (Body)"/>
      </rPr>
      <t xml:space="preserve">µL </t>
    </r>
    <r>
      <rPr>
        <sz val="12"/>
        <color theme="1"/>
        <rFont val="Aptos Narrow"/>
        <family val="2"/>
        <scheme val="minor"/>
      </rPr>
      <t>+ 20.964mL</t>
    </r>
  </si>
  <si>
    <t>43µg/mL</t>
  </si>
  <si>
    <t>about 36mg in 18mL</t>
  </si>
  <si>
    <t>samples taken from this replicate</t>
  </si>
  <si>
    <t>purple and orange = different batches of barnacles</t>
  </si>
  <si>
    <t>hl</t>
  </si>
  <si>
    <t>Dilution 1:</t>
  </si>
  <si>
    <t># particles per mL of Aged plastics (36 mL of 25 mg/mL):</t>
  </si>
  <si>
    <t>Dilution 2:</t>
  </si>
  <si>
    <t xml:space="preserve">Particles: </t>
  </si>
  <si>
    <t xml:space="preserve">This means there are way fewer particles in the unaged version than in the aged version! </t>
  </si>
  <si>
    <t>water anyway because they're so hydrophobic.</t>
  </si>
  <si>
    <t xml:space="preserve">Also, way fewer particles are being mixed into the </t>
  </si>
  <si>
    <t xml:space="preserve">RPD Aged PS </t>
  </si>
  <si>
    <t>36µL to make 18 mL</t>
  </si>
  <si>
    <t>36 mg in 18 mL</t>
  </si>
  <si>
    <t>means some spilled</t>
  </si>
  <si>
    <t>% mortality</t>
  </si>
  <si>
    <t>Standard Deviation</t>
  </si>
  <si>
    <t>Mean</t>
  </si>
  <si>
    <t>Concentration µg/mL</t>
  </si>
  <si>
    <t>Concentration µL/mg</t>
  </si>
  <si>
    <t>Aged PS</t>
  </si>
  <si>
    <t>Pure PS</t>
  </si>
  <si>
    <t>PS</t>
  </si>
  <si>
    <t>Treatment</t>
  </si>
  <si>
    <t>Replicate</t>
  </si>
  <si>
    <t>Deaths</t>
  </si>
  <si>
    <t>% Mortality</t>
  </si>
  <si>
    <t xml:space="preserve">        </t>
  </si>
  <si>
    <t xml:space="preserve">Pure: </t>
  </si>
  <si>
    <t>Aged:</t>
  </si>
  <si>
    <t>% of dilition 1</t>
  </si>
  <si>
    <t>% of dilution 1</t>
  </si>
  <si>
    <t>Calculation</t>
  </si>
  <si>
    <t xml:space="preserve">multiply anything by </t>
  </si>
  <si>
    <t>(5750000p/mL)/(40µg/mL)</t>
  </si>
  <si>
    <t>p/µg</t>
  </si>
  <si>
    <t>multiply anything by</t>
  </si>
  <si>
    <t>Concentration p/mL</t>
  </si>
  <si>
    <t>(1150000p/mL)/(1333µg/mL)</t>
  </si>
  <si>
    <t>(1300000p/mL)/(704µg/mL)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</si>
</sst>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Aptos Narrow"/>
      <family val="2"/>
      <scheme val="minor"/>
    </font>
    <font>
      <b/>
      <sz val="12"/>
      <color theme="1"/>
      <name val="Aptos Narrow"/>
      <scheme val="minor"/>
    </font>
    <font>
      <sz val="12"/>
      <color rgb="FF000000"/>
      <name val="Aptos Narrow"/>
      <family val="2"/>
      <scheme val="minor"/>
    </font>
    <font>
      <sz val="12"/>
      <color theme="1"/>
      <name val="Aptos Narrow (Body)"/>
    </font>
    <font>
      <sz val="12"/>
      <color rgb="FFFF0000"/>
      <name val="Aptos Narrow"/>
      <family val="2"/>
      <scheme val="minor"/>
    </font>
    <font>
      <b/>
      <sz val="12"/>
      <color theme="1"/>
      <name val="Aptos Narrow"/>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A3BDD0"/>
        <bgColor indexed="64"/>
      </patternFill>
    </fill>
    <fill>
      <patternFill patternType="solid">
        <fgColor rgb="FFD9D5FA"/>
        <bgColor indexed="64"/>
      </patternFill>
    </fill>
    <fill>
      <patternFill patternType="solid">
        <fgColor theme="2"/>
        <bgColor indexed="64"/>
      </patternFill>
    </fill>
  </fills>
  <borders count="58">
    <border>
      <left/>
      <right/>
      <top/>
      <bottom/>
      <diagonal/>
    </border>
    <border>
      <left style="medium">
        <color theme="7" tint="-0.249977111117893"/>
      </left>
      <right/>
      <top/>
      <bottom/>
      <diagonal/>
    </border>
    <border>
      <left/>
      <right style="medium">
        <color theme="7" tint="-0.249977111117893"/>
      </right>
      <top/>
      <bottom/>
      <diagonal/>
    </border>
    <border>
      <left style="medium">
        <color theme="7" tint="-0.249977111117893"/>
      </left>
      <right/>
      <top/>
      <bottom style="medium">
        <color theme="7" tint="-0.249977111117893"/>
      </bottom>
      <diagonal/>
    </border>
    <border>
      <left/>
      <right/>
      <top/>
      <bottom style="medium">
        <color theme="7" tint="-0.249977111117893"/>
      </bottom>
      <diagonal/>
    </border>
    <border>
      <left/>
      <right style="medium">
        <color theme="7" tint="-0.249977111117893"/>
      </right>
      <top/>
      <bottom style="medium">
        <color theme="7" tint="-0.249977111117893"/>
      </bottom>
      <diagonal/>
    </border>
    <border>
      <left style="medium">
        <color theme="7" tint="-0.249977111117893"/>
      </left>
      <right/>
      <top style="medium">
        <color theme="7" tint="-0.249977111117893"/>
      </top>
      <bottom style="medium">
        <color theme="7" tint="-0.249977111117893"/>
      </bottom>
      <diagonal/>
    </border>
    <border>
      <left/>
      <right/>
      <top style="medium">
        <color theme="7" tint="-0.249977111117893"/>
      </top>
      <bottom style="medium">
        <color theme="7" tint="-0.249977111117893"/>
      </bottom>
      <diagonal/>
    </border>
    <border>
      <left/>
      <right style="medium">
        <color theme="7" tint="-0.249977111117893"/>
      </right>
      <top style="medium">
        <color theme="7" tint="-0.249977111117893"/>
      </top>
      <bottom style="medium">
        <color theme="7" tint="-0.249977111117893"/>
      </bottom>
      <diagonal/>
    </border>
    <border>
      <left style="medium">
        <color theme="7" tint="-0.249977111117893"/>
      </left>
      <right/>
      <top style="medium">
        <color theme="7" tint="-0.249977111117893"/>
      </top>
      <bottom/>
      <diagonal/>
    </border>
    <border>
      <left/>
      <right/>
      <top style="medium">
        <color theme="7" tint="-0.249977111117893"/>
      </top>
      <bottom/>
      <diagonal/>
    </border>
    <border>
      <left/>
      <right style="medium">
        <color theme="7" tint="-0.249977111117893"/>
      </right>
      <top style="medium">
        <color theme="7" tint="-0.249977111117893"/>
      </top>
      <bottom/>
      <diagonal/>
    </border>
    <border>
      <left style="medium">
        <color theme="7" tint="-0.249977111117893"/>
      </left>
      <right/>
      <top/>
      <bottom style="thin">
        <color indexed="64"/>
      </bottom>
      <diagonal/>
    </border>
    <border>
      <left style="medium">
        <color theme="4"/>
      </left>
      <right/>
      <top/>
      <bottom/>
      <diagonal/>
    </border>
    <border>
      <left style="medium">
        <color theme="7" tint="-0.249977111117893"/>
      </left>
      <right/>
      <top/>
      <bottom style="medium">
        <color theme="4"/>
      </bottom>
      <diagonal/>
    </border>
    <border>
      <left/>
      <right style="medium">
        <color theme="7" tint="-0.249977111117893"/>
      </right>
      <top/>
      <bottom style="medium">
        <color theme="4"/>
      </bottom>
      <diagonal/>
    </border>
    <border>
      <left/>
      <right/>
      <top style="medium">
        <color theme="4"/>
      </top>
      <bottom/>
      <diagonal/>
    </border>
    <border>
      <left/>
      <right style="medium">
        <color theme="4"/>
      </right>
      <top/>
      <bottom/>
      <diagonal/>
    </border>
    <border>
      <left style="medium">
        <color theme="4"/>
      </left>
      <right/>
      <top style="medium">
        <color theme="4"/>
      </top>
      <bottom style="medium">
        <color theme="4"/>
      </bottom>
      <diagonal/>
    </border>
    <border>
      <left style="medium">
        <color theme="7" tint="-0.249977111117893"/>
      </left>
      <right style="medium">
        <color theme="4"/>
      </right>
      <top/>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style="medium">
        <color theme="4"/>
      </left>
      <right/>
      <top style="medium">
        <color theme="4"/>
      </top>
      <bottom/>
      <diagonal/>
    </border>
    <border>
      <left/>
      <right style="medium">
        <color theme="7" tint="-0.249977111117893"/>
      </right>
      <top style="medium">
        <color theme="4"/>
      </top>
      <bottom/>
      <diagonal/>
    </border>
    <border>
      <left style="medium">
        <color theme="7" tint="-0.249977111117893"/>
      </left>
      <right style="medium">
        <color theme="4"/>
      </right>
      <top/>
      <bottom style="medium">
        <color theme="7" tint="-0.249977111117893"/>
      </bottom>
      <diagonal/>
    </border>
    <border>
      <left style="medium">
        <color theme="4"/>
      </left>
      <right style="medium">
        <color theme="7" tint="-0.249977111117893"/>
      </right>
      <top/>
      <bottom style="medium">
        <color theme="4"/>
      </bottom>
      <diagonal/>
    </border>
    <border>
      <left/>
      <right/>
      <top/>
      <bottom style="medium">
        <color theme="4"/>
      </bottom>
      <diagonal/>
    </border>
    <border>
      <left/>
      <right style="medium">
        <color theme="4"/>
      </right>
      <top/>
      <bottom style="medium">
        <color theme="4"/>
      </bottom>
      <diagonal/>
    </border>
    <border>
      <left/>
      <right style="medium">
        <color theme="4"/>
      </right>
      <top style="medium">
        <color theme="4"/>
      </top>
      <bottom/>
      <diagonal/>
    </border>
    <border>
      <left style="medium">
        <color theme="4"/>
      </left>
      <right/>
      <top/>
      <bottom style="medium">
        <color theme="4"/>
      </bottom>
      <diagonal/>
    </border>
    <border>
      <left style="medium">
        <color theme="4"/>
      </left>
      <right style="medium">
        <color theme="4"/>
      </right>
      <top style="medium">
        <color theme="4"/>
      </top>
      <bottom/>
      <diagonal/>
    </border>
    <border>
      <left style="medium">
        <color rgb="FF156082"/>
      </left>
      <right style="medium">
        <color rgb="FF156082"/>
      </right>
      <top style="medium">
        <color rgb="FF156082"/>
      </top>
      <bottom/>
      <diagonal/>
    </border>
    <border>
      <left/>
      <right style="medium">
        <color rgb="FF156082"/>
      </right>
      <top/>
      <bottom/>
      <diagonal/>
    </border>
    <border>
      <left/>
      <right style="medium">
        <color rgb="FF156082"/>
      </right>
      <top/>
      <bottom style="medium">
        <color theme="4"/>
      </bottom>
      <diagonal/>
    </border>
    <border>
      <left style="medium">
        <color theme="2" tint="-0.499984740745262"/>
      </left>
      <right style="medium">
        <color theme="2" tint="-0.499984740745262"/>
      </right>
      <top style="medium">
        <color theme="2" tint="-0.499984740745262"/>
      </top>
      <bottom/>
      <diagonal/>
    </border>
    <border>
      <left style="medium">
        <color theme="2" tint="-0.499984740745262"/>
      </left>
      <right style="medium">
        <color theme="2" tint="-0.499984740745262"/>
      </right>
      <top/>
      <bottom/>
      <diagonal/>
    </border>
    <border>
      <left style="medium">
        <color theme="2" tint="-0.499984740745262"/>
      </left>
      <right style="medium">
        <color theme="2" tint="-0.499984740745262"/>
      </right>
      <top/>
      <bottom style="medium">
        <color theme="2" tint="-0.499984740745262"/>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style="medium">
        <color theme="2" tint="-0.499984740745262"/>
      </left>
      <right/>
      <top/>
      <bottom/>
      <diagonal/>
    </border>
    <border>
      <left/>
      <right style="medium">
        <color theme="2" tint="-0.499984740745262"/>
      </right>
      <top/>
      <bottom/>
      <diagonal/>
    </border>
    <border>
      <left style="medium">
        <color theme="2" tint="-0.499984740745262"/>
      </left>
      <right/>
      <top/>
      <bottom style="medium">
        <color theme="2" tint="-0.499984740745262"/>
      </bottom>
      <diagonal/>
    </border>
    <border>
      <left/>
      <right/>
      <top/>
      <bottom style="medium">
        <color theme="2" tint="-0.499984740745262"/>
      </bottom>
      <diagonal/>
    </border>
    <border>
      <left/>
      <right style="medium">
        <color theme="2" tint="-0.499984740745262"/>
      </right>
      <top/>
      <bottom style="medium">
        <color theme="2" tint="-0.499984740745262"/>
      </bottom>
      <diagonal/>
    </border>
    <border>
      <left style="medium">
        <color theme="2" tint="-0.499984740745262"/>
      </left>
      <right/>
      <top style="medium">
        <color theme="2" tint="-0.499984740745262"/>
      </top>
      <bottom style="medium">
        <color theme="2" tint="-0.499984740745262"/>
      </bottom>
      <diagonal/>
    </border>
    <border>
      <left/>
      <right/>
      <top style="medium">
        <color theme="2" tint="-0.499984740745262"/>
      </top>
      <bottom style="medium">
        <color theme="2" tint="-0.499984740745262"/>
      </bottom>
      <diagonal/>
    </border>
    <border>
      <left/>
      <right style="medium">
        <color theme="2" tint="-0.499984740745262"/>
      </right>
      <top style="medium">
        <color theme="2" tint="-0.499984740745262"/>
      </top>
      <bottom style="medium">
        <color theme="2" tint="-0.499984740745262"/>
      </bottom>
      <diagonal/>
    </border>
    <border>
      <left style="medium">
        <color rgb="FFDB9EC5"/>
      </left>
      <right/>
      <top/>
      <bottom/>
      <diagonal/>
    </border>
    <border>
      <left/>
      <right style="medium">
        <color rgb="FFDB9EC5"/>
      </right>
      <top/>
      <bottom/>
      <diagonal/>
    </border>
    <border>
      <left style="medium">
        <color rgb="FFDB9EC5"/>
      </left>
      <right/>
      <top/>
      <bottom style="medium">
        <color rgb="FFDB9EC5"/>
      </bottom>
      <diagonal/>
    </border>
    <border>
      <left/>
      <right/>
      <top/>
      <bottom style="medium">
        <color rgb="FFDB9EC5"/>
      </bottom>
      <diagonal/>
    </border>
    <border>
      <left/>
      <right style="medium">
        <color rgb="FFDB9EC5"/>
      </right>
      <top/>
      <bottom style="medium">
        <color rgb="FFDB9EC5"/>
      </bottom>
      <diagonal/>
    </border>
    <border>
      <left style="medium">
        <color rgb="FFDB9EC5"/>
      </left>
      <right/>
      <top style="medium">
        <color rgb="FFDB9EC5"/>
      </top>
      <bottom/>
      <diagonal/>
    </border>
    <border>
      <left/>
      <right/>
      <top style="medium">
        <color rgb="FFDB9EC5"/>
      </top>
      <bottom/>
      <diagonal/>
    </border>
    <border>
      <left/>
      <right style="medium">
        <color rgb="FFDB9EC5"/>
      </right>
      <top style="medium">
        <color rgb="FFDB9EC5"/>
      </top>
      <bottom/>
      <diagonal/>
    </border>
  </borders>
  <cellStyleXfs count="1">
    <xf numFmtId="0" fontId="0" fillId="0" borderId="0"/>
  </cellStyleXfs>
  <cellXfs count="14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1" xfId="0" applyFont="1" applyBorder="1"/>
    <xf numFmtId="0" fontId="0" fillId="0" borderId="10" xfId="0" applyBorder="1"/>
    <xf numFmtId="0" fontId="0" fillId="0" borderId="0" xfId="0" applyAlignment="1">
      <alignment wrapText="1"/>
    </xf>
    <xf numFmtId="0" fontId="0" fillId="3" borderId="1" xfId="0" applyFill="1" applyBorder="1"/>
    <xf numFmtId="0" fontId="0" fillId="3" borderId="2" xfId="0" applyFill="1" applyBorder="1"/>
    <xf numFmtId="164" fontId="0" fillId="0" borderId="2" xfId="0" applyNumberFormat="1" applyBorder="1"/>
    <xf numFmtId="0" fontId="0" fillId="3" borderId="0" xfId="0" applyFill="1"/>
    <xf numFmtId="0" fontId="1" fillId="0" borderId="9" xfId="0" applyFont="1" applyBorder="1"/>
    <xf numFmtId="0" fontId="0" fillId="0" borderId="11" xfId="0" applyBorder="1"/>
    <xf numFmtId="164" fontId="0" fillId="0" borderId="5" xfId="0" applyNumberFormat="1" applyBorder="1"/>
    <xf numFmtId="0" fontId="0" fillId="0" borderId="9" xfId="0" applyBorder="1"/>
    <xf numFmtId="164" fontId="0" fillId="0" borderId="10" xfId="0" applyNumberFormat="1" applyBorder="1"/>
    <xf numFmtId="164" fontId="0" fillId="0" borderId="0" xfId="0" applyNumberFormat="1"/>
    <xf numFmtId="164" fontId="0" fillId="0" borderId="4" xfId="0" applyNumberFormat="1" applyBorder="1"/>
    <xf numFmtId="0" fontId="0" fillId="4" borderId="0" xfId="0" applyFill="1"/>
    <xf numFmtId="0" fontId="0" fillId="0" borderId="12" xfId="0" applyBorder="1"/>
    <xf numFmtId="0" fontId="0" fillId="0" borderId="13" xfId="0" applyBorder="1"/>
    <xf numFmtId="164" fontId="0" fillId="0" borderId="15" xfId="0" applyNumberFormat="1" applyBorder="1"/>
    <xf numFmtId="0" fontId="0" fillId="0" borderId="14" xfId="0" applyBorder="1"/>
    <xf numFmtId="164" fontId="0" fillId="0" borderId="16" xfId="0" applyNumberFormat="1" applyBorder="1"/>
    <xf numFmtId="0" fontId="0" fillId="0" borderId="16" xfId="0" applyBorder="1"/>
    <xf numFmtId="0" fontId="0" fillId="0" borderId="17" xfId="0" applyBorder="1"/>
    <xf numFmtId="164" fontId="0" fillId="0" borderId="17" xfId="0" applyNumberFormat="1" applyBorder="1"/>
    <xf numFmtId="0" fontId="0" fillId="0" borderId="19" xfId="0" applyBorder="1"/>
    <xf numFmtId="0" fontId="0" fillId="0" borderId="22" xfId="0" applyBorder="1"/>
    <xf numFmtId="0" fontId="0" fillId="0" borderId="23"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0" xfId="0" applyAlignment="1">
      <alignment horizontal="center"/>
    </xf>
    <xf numFmtId="0" fontId="0" fillId="0" borderId="17" xfId="0" applyBorder="1" applyAlignment="1">
      <alignment horizontal="center"/>
    </xf>
    <xf numFmtId="0" fontId="0" fillId="0" borderId="31" xfId="0" applyBorder="1"/>
    <xf numFmtId="0" fontId="0" fillId="0" borderId="32" xfId="0" applyBorder="1"/>
    <xf numFmtId="0" fontId="0" fillId="0" borderId="13" xfId="0" applyBorder="1" applyAlignment="1">
      <alignment horizontal="center"/>
    </xf>
    <xf numFmtId="0" fontId="0" fillId="0" borderId="24" xfId="0" applyBorder="1"/>
    <xf numFmtId="0" fontId="1" fillId="0" borderId="32" xfId="0" applyFont="1" applyBorder="1"/>
    <xf numFmtId="0" fontId="0" fillId="0" borderId="32" xfId="0" applyBorder="1" applyAlignment="1">
      <alignment horizontal="center"/>
    </xf>
    <xf numFmtId="0" fontId="0" fillId="0" borderId="30" xfId="0" applyBorder="1"/>
    <xf numFmtId="0" fontId="0" fillId="0" borderId="24" xfId="0" applyBorder="1" applyAlignment="1">
      <alignment horizontal="center"/>
    </xf>
    <xf numFmtId="0" fontId="2" fillId="0" borderId="33" xfId="0" applyFont="1" applyBorder="1"/>
    <xf numFmtId="0" fontId="0" fillId="6" borderId="13" xfId="0" applyFill="1" applyBorder="1"/>
    <xf numFmtId="0" fontId="0" fillId="6" borderId="31" xfId="0" applyFill="1" applyBorder="1"/>
    <xf numFmtId="0" fontId="2" fillId="0" borderId="34" xfId="0" applyFont="1" applyBorder="1"/>
    <xf numFmtId="0" fontId="0" fillId="6" borderId="24" xfId="0" applyFill="1" applyBorder="1"/>
    <xf numFmtId="0" fontId="2" fillId="0" borderId="17" xfId="0" applyFont="1" applyBorder="1"/>
    <xf numFmtId="0" fontId="2" fillId="0" borderId="35" xfId="0" applyFont="1" applyBorder="1"/>
    <xf numFmtId="0" fontId="2" fillId="0" borderId="29" xfId="0" applyFont="1" applyBorder="1"/>
    <xf numFmtId="0" fontId="0" fillId="0" borderId="30" xfId="0" applyBorder="1" applyAlignment="1">
      <alignment horizontal="center"/>
    </xf>
    <xf numFmtId="0" fontId="0" fillId="0" borderId="0" xfId="0" applyAlignment="1">
      <alignment horizontal="right"/>
    </xf>
    <xf numFmtId="0" fontId="2" fillId="0" borderId="0" xfId="0" applyFont="1"/>
    <xf numFmtId="14" fontId="1" fillId="0" borderId="0" xfId="0" applyNumberFormat="1" applyFont="1"/>
    <xf numFmtId="0" fontId="2" fillId="3" borderId="34" xfId="0" applyFont="1" applyFill="1" applyBorder="1"/>
    <xf numFmtId="0" fontId="0" fillId="3" borderId="13" xfId="0" applyFill="1" applyBorder="1"/>
    <xf numFmtId="0" fontId="0" fillId="3" borderId="17" xfId="0" applyFill="1" applyBorder="1"/>
    <xf numFmtId="0" fontId="0" fillId="3" borderId="31" xfId="0" applyFill="1" applyBorder="1"/>
    <xf numFmtId="0" fontId="0" fillId="3" borderId="29" xfId="0" applyFill="1" applyBorder="1"/>
    <xf numFmtId="0" fontId="0" fillId="7" borderId="13" xfId="0" applyFill="1" applyBorder="1"/>
    <xf numFmtId="0" fontId="0" fillId="7" borderId="17" xfId="0" applyFill="1" applyBorder="1"/>
    <xf numFmtId="0" fontId="0" fillId="7" borderId="31" xfId="0" applyFill="1" applyBorder="1"/>
    <xf numFmtId="0" fontId="0" fillId="7" borderId="29" xfId="0" applyFill="1" applyBorder="1"/>
    <xf numFmtId="0" fontId="2" fillId="7" borderId="34" xfId="0" applyFont="1" applyFill="1" applyBorder="1"/>
    <xf numFmtId="0" fontId="2" fillId="7" borderId="35" xfId="0" applyFont="1" applyFill="1" applyBorder="1"/>
    <xf numFmtId="0" fontId="2" fillId="7" borderId="17" xfId="0" applyFont="1" applyFill="1" applyBorder="1"/>
    <xf numFmtId="0" fontId="2" fillId="7" borderId="29" xfId="0" applyFont="1" applyFill="1" applyBorder="1"/>
    <xf numFmtId="0" fontId="2" fillId="3" borderId="35" xfId="0" applyFont="1" applyFill="1" applyBorder="1"/>
    <xf numFmtId="0" fontId="2" fillId="3" borderId="17" xfId="0" applyFont="1" applyFill="1" applyBorder="1"/>
    <xf numFmtId="0" fontId="2" fillId="3" borderId="29" xfId="0" applyFont="1" applyFill="1" applyBorder="1"/>
    <xf numFmtId="0" fontId="1" fillId="0" borderId="0" xfId="0" applyFont="1"/>
    <xf numFmtId="0" fontId="0" fillId="3" borderId="22" xfId="0" applyFill="1" applyBorder="1"/>
    <xf numFmtId="0" fontId="0" fillId="8" borderId="0" xfId="0" applyFill="1"/>
    <xf numFmtId="0" fontId="4" fillId="8" borderId="0" xfId="0" applyFont="1" applyFill="1"/>
    <xf numFmtId="0" fontId="0" fillId="0" borderId="36" xfId="0" applyBorder="1"/>
    <xf numFmtId="0" fontId="0" fillId="0" borderId="37" xfId="0" applyBorder="1"/>
    <xf numFmtId="0" fontId="0" fillId="0" borderId="38" xfId="0" applyBorder="1"/>
    <xf numFmtId="0" fontId="0" fillId="0" borderId="42" xfId="0" applyBorder="1"/>
    <xf numFmtId="0" fontId="0" fillId="0" borderId="43" xfId="0" applyBorder="1"/>
    <xf numFmtId="0" fontId="0" fillId="8" borderId="42" xfId="0" applyFill="1" applyBorder="1"/>
    <xf numFmtId="0" fontId="4" fillId="8" borderId="43" xfId="0" applyFont="1" applyFill="1" applyBorder="1"/>
    <xf numFmtId="0" fontId="0" fillId="8" borderId="43" xfId="0" applyFill="1" applyBorder="1"/>
    <xf numFmtId="0" fontId="0" fillId="0" borderId="44" xfId="0" applyBorder="1"/>
    <xf numFmtId="0" fontId="0" fillId="0" borderId="45" xfId="0" applyBorder="1"/>
    <xf numFmtId="0" fontId="0" fillId="8" borderId="45" xfId="0" applyFill="1" applyBorder="1"/>
    <xf numFmtId="0" fontId="0" fillId="8" borderId="46" xfId="0" applyFill="1" applyBorder="1"/>
    <xf numFmtId="0" fontId="0" fillId="0" borderId="39" xfId="0" applyBorder="1"/>
    <xf numFmtId="0" fontId="0" fillId="0" borderId="41" xfId="0" applyBorder="1"/>
    <xf numFmtId="0" fontId="0" fillId="0" borderId="46" xfId="0" applyBorder="1"/>
    <xf numFmtId="0" fontId="5" fillId="0" borderId="0" xfId="0" applyFont="1"/>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5" fillId="0" borderId="55" xfId="0" applyFont="1" applyBorder="1"/>
    <xf numFmtId="0" fontId="5" fillId="0" borderId="56" xfId="0" applyFont="1" applyBorder="1"/>
    <xf numFmtId="0" fontId="1" fillId="0" borderId="56" xfId="0" applyFont="1" applyBorder="1"/>
    <xf numFmtId="0" fontId="1" fillId="0" borderId="57" xfId="0" applyFont="1" applyBorder="1"/>
    <xf numFmtId="3" fontId="0" fillId="0" borderId="0" xfId="0" applyNumberFormat="1"/>
    <xf numFmtId="0" fontId="0" fillId="0" borderId="24" xfId="0" applyBorder="1" applyAlignment="1">
      <alignment horizontal="center"/>
    </xf>
    <xf numFmtId="0" fontId="0" fillId="0" borderId="30" xfId="0" applyBorder="1" applyAlignment="1">
      <alignment horizontal="center"/>
    </xf>
    <xf numFmtId="0" fontId="0" fillId="5" borderId="18" xfId="0" applyFill="1" applyBorder="1" applyAlignment="1">
      <alignment horizontal="center"/>
    </xf>
    <xf numFmtId="0" fontId="0" fillId="5" borderId="20" xfId="0" applyFill="1" applyBorder="1" applyAlignment="1">
      <alignment horizontal="center"/>
    </xf>
    <xf numFmtId="0" fontId="0" fillId="5" borderId="21" xfId="0" applyFill="1" applyBorder="1" applyAlignment="1">
      <alignment horizontal="center"/>
    </xf>
    <xf numFmtId="0" fontId="1" fillId="0" borderId="24" xfId="0" applyFont="1" applyBorder="1" applyAlignment="1">
      <alignment horizontal="center"/>
    </xf>
    <xf numFmtId="0" fontId="1" fillId="0" borderId="16" xfId="0" applyFont="1" applyBorder="1" applyAlignment="1">
      <alignment horizontal="center"/>
    </xf>
    <xf numFmtId="0" fontId="1" fillId="0" borderId="30" xfId="0" applyFont="1" applyBorder="1" applyAlignment="1">
      <alignment horizontal="center"/>
    </xf>
    <xf numFmtId="0" fontId="1" fillId="0" borderId="0" xfId="0" applyFont="1" applyAlignment="1">
      <alignment horizontal="center"/>
    </xf>
    <xf numFmtId="0" fontId="1" fillId="0" borderId="17" xfId="0" applyFont="1" applyBorder="1" applyAlignment="1">
      <alignment horizontal="center"/>
    </xf>
    <xf numFmtId="0" fontId="1" fillId="5" borderId="18" xfId="0" applyFont="1"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1" fillId="0" borderId="1" xfId="0" applyFont="1" applyBorder="1" applyAlignment="1">
      <alignment horizontal="center"/>
    </xf>
    <xf numFmtId="0" fontId="0" fillId="0" borderId="2" xfId="0" applyBorder="1" applyAlignment="1">
      <alignment horizontal="center"/>
    </xf>
    <xf numFmtId="0" fontId="1" fillId="0" borderId="2"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0" borderId="25" xfId="0" applyBorder="1" applyAlignment="1">
      <alignment horizontal="center"/>
    </xf>
    <xf numFmtId="0" fontId="0" fillId="2" borderId="18"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0" borderId="13" xfId="0" applyBorder="1" applyAlignment="1">
      <alignment horizontal="center"/>
    </xf>
    <xf numFmtId="0" fontId="0" fillId="0" borderId="17" xfId="0" applyBorder="1" applyAlignment="1">
      <alignment horizontal="center"/>
    </xf>
    <xf numFmtId="0" fontId="0" fillId="0" borderId="0" xfId="0" applyAlignment="1">
      <alignment horizontal="center"/>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0" borderId="49" xfId="0" applyBorder="1" applyAlignment="1">
      <alignment horizontal="center"/>
    </xf>
    <xf numFmtId="0" fontId="0" fillId="0" borderId="0" xfId="0" applyBorder="1"/>
    <xf numFmtId="0" fontId="5" fillId="0" borderId="0" xfId="0" applyFont="1" applyBorder="1"/>
    <xf numFmtId="0" fontId="1" fillId="0" borderId="0" xfId="0" applyFont="1" applyBorder="1"/>
  </cellXfs>
  <cellStyles count="1">
    <cellStyle name="Normal" xfId="0" builtinId="0"/>
  </cellStyles>
  <dxfs count="0"/>
  <tableStyles count="0" defaultTableStyle="TableStyleMedium2" defaultPivotStyle="PivotStyleLight16"/>
  <colors>
    <mruColors>
      <color rgb="FFFFE7F6"/>
      <color rgb="FFDB9EC5"/>
      <color rgb="FFFFB9E4"/>
      <color rgb="FFC5EDFC"/>
      <color rgb="FFD9D5FA"/>
      <color rgb="FFCDC4FB"/>
      <color rgb="FFA3BD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Mortality of Nauplii in Aged PS Leachates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4"/>
            </a:solidFill>
            <a:ln>
              <a:noFill/>
            </a:ln>
            <a:effectLst/>
          </c:spPr>
          <c:invertIfNegative val="0"/>
          <c:cat>
            <c:numRef>
              <c:f>'Barnalce Toxicity Assays'!$F$35:$F$44</c:f>
              <c:numCache>
                <c:formatCode>General</c:formatCode>
                <c:ptCount val="10"/>
                <c:pt idx="0">
                  <c:v>0</c:v>
                </c:pt>
                <c:pt idx="1">
                  <c:v>0.21</c:v>
                </c:pt>
                <c:pt idx="2">
                  <c:v>0.64</c:v>
                </c:pt>
                <c:pt idx="3">
                  <c:v>1.9</c:v>
                </c:pt>
                <c:pt idx="4">
                  <c:v>5.7</c:v>
                </c:pt>
                <c:pt idx="5">
                  <c:v>17</c:v>
                </c:pt>
                <c:pt idx="6">
                  <c:v>51</c:v>
                </c:pt>
                <c:pt idx="7">
                  <c:v>150</c:v>
                </c:pt>
                <c:pt idx="8">
                  <c:v>460</c:v>
                </c:pt>
                <c:pt idx="9">
                  <c:v>1400</c:v>
                </c:pt>
              </c:numCache>
            </c:numRef>
          </c:cat>
          <c:val>
            <c:numRef>
              <c:f>'Barnalce Toxicity Assays'!$G$35:$G$44</c:f>
              <c:numCache>
                <c:formatCode>General</c:formatCode>
                <c:ptCount val="10"/>
                <c:pt idx="0">
                  <c:v>28</c:v>
                </c:pt>
                <c:pt idx="1">
                  <c:v>9.1</c:v>
                </c:pt>
                <c:pt idx="2">
                  <c:v>38</c:v>
                </c:pt>
                <c:pt idx="3">
                  <c:v>43</c:v>
                </c:pt>
                <c:pt idx="4">
                  <c:v>57</c:v>
                </c:pt>
                <c:pt idx="5">
                  <c:v>59</c:v>
                </c:pt>
                <c:pt idx="6">
                  <c:v>65</c:v>
                </c:pt>
                <c:pt idx="7">
                  <c:v>89</c:v>
                </c:pt>
                <c:pt idx="8">
                  <c:v>70</c:v>
                </c:pt>
                <c:pt idx="9">
                  <c:v>67</c:v>
                </c:pt>
              </c:numCache>
            </c:numRef>
          </c:val>
          <c:extLst>
            <c:ext xmlns:c16="http://schemas.microsoft.com/office/drawing/2014/chart" uri="{C3380CC4-5D6E-409C-BE32-E72D297353CC}">
              <c16:uniqueId val="{00000000-F7B7-EE43-BF66-F5B1E677C57C}"/>
            </c:ext>
          </c:extLst>
        </c:ser>
        <c:dLbls>
          <c:showLegendKey val="0"/>
          <c:showVal val="0"/>
          <c:showCatName val="0"/>
          <c:showSerName val="0"/>
          <c:showPercent val="0"/>
          <c:showBubbleSize val="0"/>
        </c:dLbls>
        <c:gapWidth val="219"/>
        <c:overlap val="-27"/>
        <c:axId val="768809984"/>
        <c:axId val="760574208"/>
      </c:barChart>
      <c:catAx>
        <c:axId val="76880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Concentrations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574208"/>
        <c:crosses val="autoZero"/>
        <c:auto val="1"/>
        <c:lblAlgn val="ctr"/>
        <c:lblOffset val="100"/>
        <c:noMultiLvlLbl val="0"/>
      </c:catAx>
      <c:valAx>
        <c:axId val="76057420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809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9967191601049868E-3"/>
                  <c:y val="0.3511789151356080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'Barnalce Toxicity Assays'!$H$50:$H$58</c:f>
              <c:numCache>
                <c:formatCode>General</c:formatCode>
                <c:ptCount val="9"/>
                <c:pt idx="0">
                  <c:v>-0.6777807052660807</c:v>
                </c:pt>
                <c:pt idx="1">
                  <c:v>-0.19382002601611281</c:v>
                </c:pt>
                <c:pt idx="2">
                  <c:v>0.27875360095282892</c:v>
                </c:pt>
                <c:pt idx="3">
                  <c:v>0.75587485567249146</c:v>
                </c:pt>
                <c:pt idx="4">
                  <c:v>1.2304489213782739</c:v>
                </c:pt>
                <c:pt idx="5">
                  <c:v>1.7075701760979363</c:v>
                </c:pt>
                <c:pt idx="6">
                  <c:v>2.1760912590556813</c:v>
                </c:pt>
                <c:pt idx="7">
                  <c:v>2.6627578316815739</c:v>
                </c:pt>
                <c:pt idx="8">
                  <c:v>3.1461280356782382</c:v>
                </c:pt>
              </c:numCache>
            </c:numRef>
          </c:xVal>
          <c:yVal>
            <c:numRef>
              <c:f>'Barnalce Toxicity Assays'!$I$50:$I$58</c:f>
              <c:numCache>
                <c:formatCode>General</c:formatCode>
                <c:ptCount val="9"/>
                <c:pt idx="0">
                  <c:v>3.8496506196239917</c:v>
                </c:pt>
                <c:pt idx="1">
                  <c:v>4.7094932288766058</c:v>
                </c:pt>
                <c:pt idx="2">
                  <c:v>4.8375706273587147</c:v>
                </c:pt>
                <c:pt idx="3">
                  <c:v>5.1573106846101711</c:v>
                </c:pt>
                <c:pt idx="4">
                  <c:v>5.2298841175792319</c:v>
                </c:pt>
                <c:pt idx="5">
                  <c:v>5.3554904178395306</c:v>
                </c:pt>
                <c:pt idx="6">
                  <c:v>6.0364333894937898</c:v>
                </c:pt>
                <c:pt idx="7">
                  <c:v>5.5000764089501502</c:v>
                </c:pt>
                <c:pt idx="8">
                  <c:v>5.4235760842011995</c:v>
                </c:pt>
              </c:numCache>
            </c:numRef>
          </c:yVal>
          <c:smooth val="0"/>
          <c:extLst>
            <c:ext xmlns:c16="http://schemas.microsoft.com/office/drawing/2014/chart" uri="{C3380CC4-5D6E-409C-BE32-E72D297353CC}">
              <c16:uniqueId val="{00000000-E052-DD43-A35A-F4EC77FE2A24}"/>
            </c:ext>
          </c:extLst>
        </c:ser>
        <c:dLbls>
          <c:showLegendKey val="0"/>
          <c:showVal val="0"/>
          <c:showCatName val="0"/>
          <c:showSerName val="0"/>
          <c:showPercent val="0"/>
          <c:showBubbleSize val="0"/>
        </c:dLbls>
        <c:axId val="157309056"/>
        <c:axId val="157310400"/>
      </c:scatterChart>
      <c:valAx>
        <c:axId val="157309056"/>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Log10 concentration (µg/mL)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0400"/>
        <c:crosses val="autoZero"/>
        <c:crossBetween val="midCat"/>
      </c:valAx>
      <c:valAx>
        <c:axId val="157310400"/>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Probit (%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90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Mortality of Nauplii in Aged PS Leachates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'Barnalce Toxicity Assays'!$F$81:$F$86</c:f>
              <c:numCache>
                <c:formatCode>General</c:formatCode>
                <c:ptCount val="6"/>
                <c:pt idx="0">
                  <c:v>0</c:v>
                </c:pt>
                <c:pt idx="1">
                  <c:v>4.9000000000000002E-2</c:v>
                </c:pt>
                <c:pt idx="2">
                  <c:v>0.15</c:v>
                </c:pt>
                <c:pt idx="3">
                  <c:v>0.44</c:v>
                </c:pt>
                <c:pt idx="4">
                  <c:v>1.3</c:v>
                </c:pt>
                <c:pt idx="5">
                  <c:v>4</c:v>
                </c:pt>
              </c:numCache>
            </c:numRef>
          </c:cat>
          <c:val>
            <c:numRef>
              <c:f>'Barnalce Toxicity Assays'!$G$81:$G$86</c:f>
              <c:numCache>
                <c:formatCode>General</c:formatCode>
                <c:ptCount val="6"/>
                <c:pt idx="0">
                  <c:v>35</c:v>
                </c:pt>
                <c:pt idx="1">
                  <c:v>79</c:v>
                </c:pt>
                <c:pt idx="2">
                  <c:v>89</c:v>
                </c:pt>
                <c:pt idx="3">
                  <c:v>73</c:v>
                </c:pt>
                <c:pt idx="4">
                  <c:v>95</c:v>
                </c:pt>
                <c:pt idx="5">
                  <c:v>88</c:v>
                </c:pt>
              </c:numCache>
            </c:numRef>
          </c:val>
          <c:extLst>
            <c:ext xmlns:c16="http://schemas.microsoft.com/office/drawing/2014/chart" uri="{C3380CC4-5D6E-409C-BE32-E72D297353CC}">
              <c16:uniqueId val="{00000000-E4AE-BE40-928F-1DDA63B32551}"/>
            </c:ext>
          </c:extLst>
        </c:ser>
        <c:dLbls>
          <c:showLegendKey val="0"/>
          <c:showVal val="0"/>
          <c:showCatName val="0"/>
          <c:showSerName val="0"/>
          <c:showPercent val="0"/>
          <c:showBubbleSize val="0"/>
        </c:dLbls>
        <c:gapWidth val="219"/>
        <c:overlap val="-27"/>
        <c:axId val="1359786687"/>
        <c:axId val="1359777727"/>
      </c:barChart>
      <c:catAx>
        <c:axId val="1359786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77727"/>
        <c:crosses val="autoZero"/>
        <c:auto val="1"/>
        <c:lblAlgn val="ctr"/>
        <c:lblOffset val="100"/>
        <c:noMultiLvlLbl val="0"/>
      </c:catAx>
      <c:valAx>
        <c:axId val="13597777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86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Mortality of Nauplii in PS Leachates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'Barnalce Toxicity Assays'!$P$7:$P$14</c:f>
              <c:numCache>
                <c:formatCode>General</c:formatCode>
                <c:ptCount val="8"/>
                <c:pt idx="0">
                  <c:v>0</c:v>
                </c:pt>
                <c:pt idx="1">
                  <c:v>2.7000000000000001E-3</c:v>
                </c:pt>
                <c:pt idx="2">
                  <c:v>8.2000000000000007E-3</c:v>
                </c:pt>
                <c:pt idx="3">
                  <c:v>2.5000000000000001E-2</c:v>
                </c:pt>
                <c:pt idx="4">
                  <c:v>7.3999999999999996E-2</c:v>
                </c:pt>
                <c:pt idx="5">
                  <c:v>0.22</c:v>
                </c:pt>
                <c:pt idx="6">
                  <c:v>0.67</c:v>
                </c:pt>
                <c:pt idx="7">
                  <c:v>2</c:v>
                </c:pt>
              </c:numCache>
            </c:numRef>
          </c:cat>
          <c:val>
            <c:numRef>
              <c:f>'Barnalce Toxicity Assays'!$AA$7:$AA$14</c:f>
              <c:numCache>
                <c:formatCode>General</c:formatCode>
                <c:ptCount val="8"/>
                <c:pt idx="0">
                  <c:v>40.74074074074074</c:v>
                </c:pt>
                <c:pt idx="1">
                  <c:v>38.931297709923662</c:v>
                </c:pt>
                <c:pt idx="2">
                  <c:v>63.492063492063487</c:v>
                </c:pt>
                <c:pt idx="3">
                  <c:v>76</c:v>
                </c:pt>
                <c:pt idx="4">
                  <c:v>67.123287671232873</c:v>
                </c:pt>
                <c:pt idx="5">
                  <c:v>69.491525423728817</c:v>
                </c:pt>
                <c:pt idx="6">
                  <c:v>72.38095238095238</c:v>
                </c:pt>
                <c:pt idx="7">
                  <c:v>76.371308016877634</c:v>
                </c:pt>
              </c:numCache>
            </c:numRef>
          </c:val>
          <c:extLst>
            <c:ext xmlns:c16="http://schemas.microsoft.com/office/drawing/2014/chart" uri="{C3380CC4-5D6E-409C-BE32-E72D297353CC}">
              <c16:uniqueId val="{00000000-C597-C943-977E-5D3A22399E3F}"/>
            </c:ext>
          </c:extLst>
        </c:ser>
        <c:dLbls>
          <c:showLegendKey val="0"/>
          <c:showVal val="0"/>
          <c:showCatName val="0"/>
          <c:showSerName val="0"/>
          <c:showPercent val="0"/>
          <c:showBubbleSize val="0"/>
        </c:dLbls>
        <c:gapWidth val="219"/>
        <c:overlap val="-27"/>
        <c:axId val="1623482239"/>
        <c:axId val="1623485375"/>
      </c:barChart>
      <c:catAx>
        <c:axId val="1623482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485375"/>
        <c:crosses val="autoZero"/>
        <c:auto val="1"/>
        <c:lblAlgn val="ctr"/>
        <c:lblOffset val="100"/>
        <c:noMultiLvlLbl val="0"/>
      </c:catAx>
      <c:valAx>
        <c:axId val="162348537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482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026519258662935E-2"/>
                  <c:y val="0.1894210449762886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'Barnalce Toxicity Assays'!$H$97:$H$101</c:f>
              <c:numCache>
                <c:formatCode>General</c:formatCode>
                <c:ptCount val="5"/>
                <c:pt idx="0">
                  <c:v>1.6901960800285136</c:v>
                </c:pt>
                <c:pt idx="1">
                  <c:v>2.1760912590556813</c:v>
                </c:pt>
                <c:pt idx="2">
                  <c:v>2.6434526764861874</c:v>
                </c:pt>
                <c:pt idx="3">
                  <c:v>3.1139433523068369</c:v>
                </c:pt>
                <c:pt idx="4">
                  <c:v>3.6020599913279625</c:v>
                </c:pt>
              </c:numCache>
            </c:numRef>
          </c:xVal>
          <c:yVal>
            <c:numRef>
              <c:f>'Barnalce Toxicity Assays'!$I$97:$I$101</c:f>
              <c:numCache>
                <c:formatCode>General</c:formatCode>
                <c:ptCount val="5"/>
                <c:pt idx="0">
                  <c:v>5.7835003753897745</c:v>
                </c:pt>
                <c:pt idx="1">
                  <c:v>6.1669186011353174</c:v>
                </c:pt>
                <c:pt idx="2">
                  <c:v>5.596231764610585</c:v>
                </c:pt>
                <c:pt idx="3">
                  <c:v>6.5341205443525467</c:v>
                </c:pt>
                <c:pt idx="4">
                  <c:v>6.107002880537908</c:v>
                </c:pt>
              </c:numCache>
            </c:numRef>
          </c:yVal>
          <c:smooth val="0"/>
          <c:extLst>
            <c:ext xmlns:c16="http://schemas.microsoft.com/office/drawing/2014/chart" uri="{C3380CC4-5D6E-409C-BE32-E72D297353CC}">
              <c16:uniqueId val="{00000000-0F95-CF40-8529-24B234FB05AE}"/>
            </c:ext>
          </c:extLst>
        </c:ser>
        <c:dLbls>
          <c:showLegendKey val="0"/>
          <c:showVal val="0"/>
          <c:showCatName val="0"/>
          <c:showSerName val="0"/>
          <c:showPercent val="0"/>
          <c:showBubbleSize val="0"/>
        </c:dLbls>
        <c:axId val="1416973375"/>
        <c:axId val="1660675711"/>
      </c:scatterChart>
      <c:valAx>
        <c:axId val="1416973375"/>
        <c:scaling>
          <c:orientation val="minMax"/>
          <c:min val="1.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Log10 Cncentration</a:t>
                </a:r>
                <a:r>
                  <a:rPr lang="en-US" baseline="0"/>
                  <a:t> (µL/mL)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675711"/>
        <c:crosses val="autoZero"/>
        <c:crossBetween val="midCat"/>
      </c:valAx>
      <c:valAx>
        <c:axId val="1660675711"/>
        <c:scaling>
          <c:orientation val="minMax"/>
          <c:max val="7"/>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Probit (% Mortaltiy)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733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1313910761154856"/>
                  <c:y val="0.374839603382910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'Barnalce Toxicity Assays'!$U$34:$U$40</c:f>
              <c:numCache>
                <c:formatCode>General</c:formatCode>
                <c:ptCount val="7"/>
                <c:pt idx="0">
                  <c:v>0.43136376415898736</c:v>
                </c:pt>
                <c:pt idx="1">
                  <c:v>0.91381385238371671</c:v>
                </c:pt>
                <c:pt idx="2">
                  <c:v>1.3979400086720377</c:v>
                </c:pt>
                <c:pt idx="3">
                  <c:v>1.8692317197309762</c:v>
                </c:pt>
                <c:pt idx="4">
                  <c:v>2.3424226808222062</c:v>
                </c:pt>
                <c:pt idx="5">
                  <c:v>2.8260748027008264</c:v>
                </c:pt>
                <c:pt idx="6">
                  <c:v>3.3010299956639813</c:v>
                </c:pt>
              </c:numCache>
            </c:numRef>
          </c:xVal>
          <c:yVal>
            <c:numRef>
              <c:f>'Barnalce Toxicity Assays'!$V$34:$V$40</c:f>
              <c:numCache>
                <c:formatCode>General</c:formatCode>
                <c:ptCount val="7"/>
                <c:pt idx="0">
                  <c:v>4.7210758442416623</c:v>
                </c:pt>
                <c:pt idx="1">
                  <c:v>5.3393116065388169</c:v>
                </c:pt>
                <c:pt idx="2">
                  <c:v>5.6744897501960816</c:v>
                </c:pt>
                <c:pt idx="3">
                  <c:v>5.4401010167379189</c:v>
                </c:pt>
                <c:pt idx="4">
                  <c:v>5.5005801054667396</c:v>
                </c:pt>
                <c:pt idx="5">
                  <c:v>5.5910269412042126</c:v>
                </c:pt>
                <c:pt idx="6">
                  <c:v>5.7147073162642155</c:v>
                </c:pt>
              </c:numCache>
            </c:numRef>
          </c:yVal>
          <c:smooth val="0"/>
          <c:extLst>
            <c:ext xmlns:c16="http://schemas.microsoft.com/office/drawing/2014/chart" uri="{C3380CC4-5D6E-409C-BE32-E72D297353CC}">
              <c16:uniqueId val="{00000000-789B-E242-BE2A-C4AE6DC099B6}"/>
            </c:ext>
          </c:extLst>
        </c:ser>
        <c:dLbls>
          <c:showLegendKey val="0"/>
          <c:showVal val="0"/>
          <c:showCatName val="0"/>
          <c:showSerName val="0"/>
          <c:showPercent val="0"/>
          <c:showBubbleSize val="0"/>
        </c:dLbls>
        <c:axId val="1417002303"/>
        <c:axId val="1351944831"/>
      </c:scatterChart>
      <c:valAx>
        <c:axId val="1417002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Log10</a:t>
                </a:r>
                <a:r>
                  <a:rPr lang="en-US" baseline="0"/>
                  <a:t> concentrations (µL/mg)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44831"/>
        <c:crosses val="autoZero"/>
        <c:crossBetween val="midCat"/>
      </c:valAx>
      <c:valAx>
        <c:axId val="1351944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Probit (%</a:t>
                </a:r>
                <a:r>
                  <a:rPr lang="en-US" baseline="0"/>
                  <a:t> Mortality)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0023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Mortality of Nauplii in PS Leachates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'Barnalce Toxicity Assays'!$P$51:$P$58</c:f>
              <c:numCache>
                <c:formatCode>General</c:formatCode>
                <c:ptCount val="8"/>
                <c:pt idx="0">
                  <c:v>0</c:v>
                </c:pt>
                <c:pt idx="1">
                  <c:v>2.7000000000000001E-3</c:v>
                </c:pt>
                <c:pt idx="2">
                  <c:v>8.2000000000000007E-3</c:v>
                </c:pt>
                <c:pt idx="3">
                  <c:v>2.5000000000000001E-2</c:v>
                </c:pt>
                <c:pt idx="4">
                  <c:v>7.3999999999999996E-2</c:v>
                </c:pt>
                <c:pt idx="5">
                  <c:v>0.22</c:v>
                </c:pt>
                <c:pt idx="6">
                  <c:v>0.67</c:v>
                </c:pt>
                <c:pt idx="7">
                  <c:v>2</c:v>
                </c:pt>
              </c:numCache>
            </c:numRef>
          </c:cat>
          <c:val>
            <c:numRef>
              <c:f>'Barnalce Toxicity Assays'!$AA$51:$AA$58</c:f>
              <c:numCache>
                <c:formatCode>General</c:formatCode>
                <c:ptCount val="8"/>
                <c:pt idx="0">
                  <c:v>39.150943396226417</c:v>
                </c:pt>
                <c:pt idx="1">
                  <c:v>57.894736842105267</c:v>
                </c:pt>
                <c:pt idx="2">
                  <c:v>66.037735849056602</c:v>
                </c:pt>
                <c:pt idx="3">
                  <c:v>73.68421052631578</c:v>
                </c:pt>
                <c:pt idx="4">
                  <c:v>81.818181818181827</c:v>
                </c:pt>
                <c:pt idx="5">
                  <c:v>80.769230769230774</c:v>
                </c:pt>
                <c:pt idx="6">
                  <c:v>78.94736842105263</c:v>
                </c:pt>
                <c:pt idx="7">
                  <c:v>80</c:v>
                </c:pt>
              </c:numCache>
            </c:numRef>
          </c:val>
          <c:extLst>
            <c:ext xmlns:c16="http://schemas.microsoft.com/office/drawing/2014/chart" uri="{C3380CC4-5D6E-409C-BE32-E72D297353CC}">
              <c16:uniqueId val="{00000000-4511-9647-9B82-C1FC06AC1112}"/>
            </c:ext>
          </c:extLst>
        </c:ser>
        <c:dLbls>
          <c:showLegendKey val="0"/>
          <c:showVal val="0"/>
          <c:showCatName val="0"/>
          <c:showSerName val="0"/>
          <c:showPercent val="0"/>
          <c:showBubbleSize val="0"/>
        </c:dLbls>
        <c:gapWidth val="219"/>
        <c:overlap val="-27"/>
        <c:axId val="1911188415"/>
        <c:axId val="1911183487"/>
      </c:barChart>
      <c:catAx>
        <c:axId val="191118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Concentrations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83487"/>
        <c:crosses val="autoZero"/>
        <c:auto val="1"/>
        <c:lblAlgn val="ctr"/>
        <c:lblOffset val="100"/>
        <c:noMultiLvlLbl val="0"/>
      </c:catAx>
      <c:valAx>
        <c:axId val="19111834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Mortality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88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4.6065179352580924E-3"/>
                  <c:y val="0.322559784193642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'Barnalce Toxicity Assays'!$V$78:$V$84</c:f>
              <c:numCache>
                <c:formatCode>General</c:formatCode>
                <c:ptCount val="7"/>
                <c:pt idx="0">
                  <c:v>0.43136376415898736</c:v>
                </c:pt>
                <c:pt idx="1">
                  <c:v>0.91381385238371671</c:v>
                </c:pt>
                <c:pt idx="2">
                  <c:v>1.3979400086720377</c:v>
                </c:pt>
                <c:pt idx="3">
                  <c:v>1.8692317197309762</c:v>
                </c:pt>
                <c:pt idx="4">
                  <c:v>2.3424226808222062</c:v>
                </c:pt>
                <c:pt idx="5">
                  <c:v>2.8260748027008264</c:v>
                </c:pt>
                <c:pt idx="6">
                  <c:v>3.3010299956639813</c:v>
                </c:pt>
              </c:numCache>
            </c:numRef>
          </c:xVal>
          <c:yVal>
            <c:numRef>
              <c:f>'Barnalce Toxicity Assays'!$W$78:$W$84</c:f>
              <c:numCache>
                <c:formatCode>General</c:formatCode>
                <c:ptCount val="7"/>
                <c:pt idx="0">
                  <c:v>5.1940281424239263</c:v>
                </c:pt>
                <c:pt idx="1">
                  <c:v>5.4053977219782405</c:v>
                </c:pt>
                <c:pt idx="2">
                  <c:v>5.6211776264313524</c:v>
                </c:pt>
                <c:pt idx="3">
                  <c:v>5.8572543202211778</c:v>
                </c:pt>
                <c:pt idx="4">
                  <c:v>5.8284646485811349</c:v>
                </c:pt>
                <c:pt idx="5">
                  <c:v>5.7791396836729918</c:v>
                </c:pt>
                <c:pt idx="6">
                  <c:v>5.7916386077433746</c:v>
                </c:pt>
              </c:numCache>
            </c:numRef>
          </c:yVal>
          <c:smooth val="0"/>
          <c:extLst>
            <c:ext xmlns:c16="http://schemas.microsoft.com/office/drawing/2014/chart" uri="{C3380CC4-5D6E-409C-BE32-E72D297353CC}">
              <c16:uniqueId val="{00000000-AE56-984E-A8B7-4D355B0CD585}"/>
            </c:ext>
          </c:extLst>
        </c:ser>
        <c:dLbls>
          <c:showLegendKey val="0"/>
          <c:showVal val="0"/>
          <c:showCatName val="0"/>
          <c:showSerName val="0"/>
          <c:showPercent val="0"/>
          <c:showBubbleSize val="0"/>
        </c:dLbls>
        <c:axId val="1911191551"/>
        <c:axId val="1416704255"/>
      </c:scatterChart>
      <c:valAx>
        <c:axId val="1911191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Log10</a:t>
                </a:r>
                <a:r>
                  <a:rPr lang="en-US" baseline="0"/>
                  <a:t> Concentration (µL/mL)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04255"/>
        <c:crosses val="autoZero"/>
        <c:crossBetween val="midCat"/>
      </c:valAx>
      <c:valAx>
        <c:axId val="1416704255"/>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Probit (%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91551"/>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Aged</a:t>
            </a:r>
            <a:r>
              <a:rPr lang="en-US" baseline="0"/>
              <a:t> PS in RPD % Mortality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'Barnalce Toxicity Assays'!$AX$28:$AX$31</c:f>
              <c:numCache>
                <c:formatCode>General</c:formatCode>
                <c:ptCount val="4"/>
                <c:pt idx="0">
                  <c:v>0</c:v>
                </c:pt>
                <c:pt idx="1">
                  <c:v>10.588235294117647</c:v>
                </c:pt>
                <c:pt idx="2">
                  <c:v>31.764705882352942</c:v>
                </c:pt>
                <c:pt idx="3">
                  <c:v>95.294117647058826</c:v>
                </c:pt>
              </c:numCache>
            </c:numRef>
          </c:cat>
          <c:val>
            <c:numRef>
              <c:f>'Barnalce Toxicity Assays'!$AY$28:$AY$31</c:f>
              <c:numCache>
                <c:formatCode>General</c:formatCode>
                <c:ptCount val="4"/>
                <c:pt idx="0">
                  <c:v>10</c:v>
                </c:pt>
                <c:pt idx="1">
                  <c:v>42.105263157894733</c:v>
                </c:pt>
                <c:pt idx="2">
                  <c:v>62.5</c:v>
                </c:pt>
                <c:pt idx="3">
                  <c:v>72.727272727272734</c:v>
                </c:pt>
              </c:numCache>
            </c:numRef>
          </c:val>
          <c:extLst>
            <c:ext xmlns:c16="http://schemas.microsoft.com/office/drawing/2014/chart" uri="{C3380CC4-5D6E-409C-BE32-E72D297353CC}">
              <c16:uniqueId val="{00000000-DB02-0B43-8773-35A4AE36BAD7}"/>
            </c:ext>
          </c:extLst>
        </c:ser>
        <c:dLbls>
          <c:showLegendKey val="0"/>
          <c:showVal val="0"/>
          <c:showCatName val="0"/>
          <c:showSerName val="0"/>
          <c:showPercent val="0"/>
          <c:showBubbleSize val="0"/>
        </c:dLbls>
        <c:gapWidth val="219"/>
        <c:overlap val="-27"/>
        <c:axId val="1510705792"/>
        <c:axId val="1510708480"/>
      </c:barChart>
      <c:catAx>
        <c:axId val="151070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a:t>
                </a:r>
                <a:r>
                  <a:rPr lang="en-US" baseline="0"/>
                  <a:t> mg/mL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08480"/>
        <c:crosses val="autoZero"/>
        <c:auto val="1"/>
        <c:lblAlgn val="ctr"/>
        <c:lblOffset val="100"/>
        <c:noMultiLvlLbl val="0"/>
      </c:catAx>
      <c:valAx>
        <c:axId val="1510708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05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Probit</a:t>
            </a:r>
            <a:r>
              <a:rPr lang="en-US" baseline="0"/>
              <a:t> Analysis in RPD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7955234575277097E-2"/>
                  <c:y val="0.312347903678123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'Barnalce Toxicity Assays'!$BC$42:$BC$44</c:f>
              <c:numCache>
                <c:formatCode>General</c:formatCode>
                <c:ptCount val="3"/>
                <c:pt idx="0">
                  <c:v>1.0248235837250321</c:v>
                </c:pt>
                <c:pt idx="1">
                  <c:v>1.5019448384446945</c:v>
                </c:pt>
                <c:pt idx="2">
                  <c:v>1.9790660931643571</c:v>
                </c:pt>
              </c:numCache>
            </c:numRef>
          </c:xVal>
          <c:yVal>
            <c:numRef>
              <c:f>'Barnalce Toxicity Assays'!$BD$42:$BD$44</c:f>
              <c:numCache>
                <c:formatCode>General</c:formatCode>
                <c:ptCount val="3"/>
                <c:pt idx="0">
                  <c:v>4.8108815737272073</c:v>
                </c:pt>
                <c:pt idx="1">
                  <c:v>5.2993069104656669</c:v>
                </c:pt>
                <c:pt idx="2">
                  <c:v>5.548522282698098</c:v>
                </c:pt>
              </c:numCache>
            </c:numRef>
          </c:yVal>
          <c:smooth val="0"/>
          <c:extLst>
            <c:ext xmlns:c16="http://schemas.microsoft.com/office/drawing/2014/chart" uri="{C3380CC4-5D6E-409C-BE32-E72D297353CC}">
              <c16:uniqueId val="{00000000-0774-4345-B599-EB95EC8765C0}"/>
            </c:ext>
          </c:extLst>
        </c:ser>
        <c:dLbls>
          <c:showLegendKey val="0"/>
          <c:showVal val="0"/>
          <c:showCatName val="0"/>
          <c:showSerName val="0"/>
          <c:showPercent val="0"/>
          <c:showBubbleSize val="0"/>
        </c:dLbls>
        <c:axId val="1519448768"/>
        <c:axId val="1519450560"/>
      </c:scatterChart>
      <c:valAx>
        <c:axId val="1519448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Log(10)</a:t>
                </a:r>
                <a:r>
                  <a:rPr lang="en-US" baseline="0"/>
                  <a:t> concentration </a:t>
                </a:r>
                <a:r>
                  <a:rPr lang="en-US" u="none" baseline="0"/>
                  <a:t>(µL/mg)</a:t>
                </a:r>
                <a:endParaRPr lang="en-US" u="non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450560"/>
        <c:crosses val="autoZero"/>
        <c:crossBetween val="midCat"/>
      </c:valAx>
      <c:valAx>
        <c:axId val="1519450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Probit (%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4487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Aged PS in RPD % Mortality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20000"/>
                <a:lumOff val="80000"/>
              </a:schemeClr>
            </a:solidFill>
            <a:ln>
              <a:noFill/>
            </a:ln>
            <a:effectLst/>
          </c:spPr>
          <c:invertIfNegative val="0"/>
          <c:cat>
            <c:numRef>
              <c:f>'Barnalce Toxicity Assays'!$CB$5:$CB$10</c:f>
              <c:numCache>
                <c:formatCode>General</c:formatCode>
                <c:ptCount val="6"/>
                <c:pt idx="0">
                  <c:v>0</c:v>
                </c:pt>
                <c:pt idx="1">
                  <c:v>5.7240984544934169E-2</c:v>
                </c:pt>
                <c:pt idx="2">
                  <c:v>0.1717229536348025</c:v>
                </c:pt>
                <c:pt idx="3">
                  <c:v>0.5151688609044075</c:v>
                </c:pt>
                <c:pt idx="4">
                  <c:v>1.5455065827132224</c:v>
                </c:pt>
                <c:pt idx="5">
                  <c:v>4.6365197481396674</c:v>
                </c:pt>
              </c:numCache>
            </c:numRef>
          </c:cat>
          <c:val>
            <c:numRef>
              <c:f>'Barnalce Toxicity Assays'!$CC$5:$CC$10</c:f>
              <c:numCache>
                <c:formatCode>General</c:formatCode>
                <c:ptCount val="6"/>
                <c:pt idx="0">
                  <c:v>6.666666666666667</c:v>
                </c:pt>
                <c:pt idx="1">
                  <c:v>24</c:v>
                </c:pt>
                <c:pt idx="2">
                  <c:v>29.629629629629626</c:v>
                </c:pt>
                <c:pt idx="3">
                  <c:v>42.857142857142854</c:v>
                </c:pt>
                <c:pt idx="4">
                  <c:v>46.153846153846153</c:v>
                </c:pt>
                <c:pt idx="5">
                  <c:v>63.636363636363633</c:v>
                </c:pt>
              </c:numCache>
            </c:numRef>
          </c:val>
          <c:extLst>
            <c:ext xmlns:c16="http://schemas.microsoft.com/office/drawing/2014/chart" uri="{C3380CC4-5D6E-409C-BE32-E72D297353CC}">
              <c16:uniqueId val="{00000000-CDC9-ED4A-A16C-BB84EE9C84ED}"/>
            </c:ext>
          </c:extLst>
        </c:ser>
        <c:ser>
          <c:idx val="1"/>
          <c:order val="1"/>
          <c:spPr>
            <a:solidFill>
              <a:schemeClr val="accent4">
                <a:lumMod val="20000"/>
                <a:lumOff val="80000"/>
              </a:schemeClr>
            </a:solidFill>
            <a:ln>
              <a:noFill/>
            </a:ln>
            <a:effectLst/>
          </c:spPr>
          <c:invertIfNegative val="0"/>
          <c:cat>
            <c:numRef>
              <c:f>'Barnalce Toxicity Assays'!$CB$5:$CB$10</c:f>
              <c:numCache>
                <c:formatCode>General</c:formatCode>
                <c:ptCount val="6"/>
                <c:pt idx="0">
                  <c:v>0</c:v>
                </c:pt>
                <c:pt idx="1">
                  <c:v>5.7240984544934169E-2</c:v>
                </c:pt>
                <c:pt idx="2">
                  <c:v>0.1717229536348025</c:v>
                </c:pt>
                <c:pt idx="3">
                  <c:v>0.5151688609044075</c:v>
                </c:pt>
                <c:pt idx="4">
                  <c:v>1.5455065827132224</c:v>
                </c:pt>
                <c:pt idx="5">
                  <c:v>4.6365197481396674</c:v>
                </c:pt>
              </c:numCache>
            </c:numRef>
          </c:cat>
          <c:val>
            <c:numRef>
              <c:f>'Barnalce Toxicity Assays'!$CD$5:$CD$10</c:f>
              <c:numCache>
                <c:formatCode>General</c:formatCode>
                <c:ptCount val="6"/>
                <c:pt idx="0">
                  <c:v>22.857142857142858</c:v>
                </c:pt>
                <c:pt idx="1">
                  <c:v>19.047619047619047</c:v>
                </c:pt>
                <c:pt idx="2">
                  <c:v>29.166666666666668</c:v>
                </c:pt>
                <c:pt idx="3">
                  <c:v>26.315789473684209</c:v>
                </c:pt>
                <c:pt idx="4">
                  <c:v>34</c:v>
                </c:pt>
                <c:pt idx="5">
                  <c:v>34.782608695652172</c:v>
                </c:pt>
              </c:numCache>
            </c:numRef>
          </c:val>
          <c:extLst>
            <c:ext xmlns:c16="http://schemas.microsoft.com/office/drawing/2014/chart" uri="{C3380CC4-5D6E-409C-BE32-E72D297353CC}">
              <c16:uniqueId val="{00000001-CDC9-ED4A-A16C-BB84EE9C84ED}"/>
            </c:ext>
          </c:extLst>
        </c:ser>
        <c:ser>
          <c:idx val="2"/>
          <c:order val="2"/>
          <c:spPr>
            <a:solidFill>
              <a:schemeClr val="accent2">
                <a:lumMod val="20000"/>
                <a:lumOff val="80000"/>
              </a:schemeClr>
            </a:solidFill>
            <a:ln>
              <a:noFill/>
            </a:ln>
            <a:effectLst/>
          </c:spPr>
          <c:invertIfNegative val="0"/>
          <c:cat>
            <c:numRef>
              <c:f>'Barnalce Toxicity Assays'!$CB$5:$CB$10</c:f>
              <c:numCache>
                <c:formatCode>General</c:formatCode>
                <c:ptCount val="6"/>
                <c:pt idx="0">
                  <c:v>0</c:v>
                </c:pt>
                <c:pt idx="1">
                  <c:v>5.7240984544934169E-2</c:v>
                </c:pt>
                <c:pt idx="2">
                  <c:v>0.1717229536348025</c:v>
                </c:pt>
                <c:pt idx="3">
                  <c:v>0.5151688609044075</c:v>
                </c:pt>
                <c:pt idx="4">
                  <c:v>1.5455065827132224</c:v>
                </c:pt>
                <c:pt idx="5">
                  <c:v>4.6365197481396674</c:v>
                </c:pt>
              </c:numCache>
            </c:numRef>
          </c:cat>
          <c:val>
            <c:numRef>
              <c:f>'Barnalce Toxicity Assays'!$CE$5:$CE$10</c:f>
              <c:numCache>
                <c:formatCode>General</c:formatCode>
                <c:ptCount val="6"/>
                <c:pt idx="0">
                  <c:v>20</c:v>
                </c:pt>
                <c:pt idx="1">
                  <c:v>24.390243902439025</c:v>
                </c:pt>
                <c:pt idx="2">
                  <c:v>31.578947368421051</c:v>
                </c:pt>
                <c:pt idx="3">
                  <c:v>28.35820895522388</c:v>
                </c:pt>
                <c:pt idx="4">
                  <c:v>36.734693877551024</c:v>
                </c:pt>
                <c:pt idx="5">
                  <c:v>36.84210526315789</c:v>
                </c:pt>
              </c:numCache>
            </c:numRef>
          </c:val>
          <c:extLst>
            <c:ext xmlns:c16="http://schemas.microsoft.com/office/drawing/2014/chart" uri="{C3380CC4-5D6E-409C-BE32-E72D297353CC}">
              <c16:uniqueId val="{00000002-CDC9-ED4A-A16C-BB84EE9C84ED}"/>
            </c:ext>
          </c:extLst>
        </c:ser>
        <c:ser>
          <c:idx val="3"/>
          <c:order val="3"/>
          <c:spPr>
            <a:solidFill>
              <a:schemeClr val="accent6">
                <a:lumMod val="20000"/>
                <a:lumOff val="80000"/>
              </a:schemeClr>
            </a:solidFill>
            <a:ln>
              <a:noFill/>
            </a:ln>
            <a:effectLst/>
          </c:spPr>
          <c:invertIfNegative val="0"/>
          <c:cat>
            <c:numRef>
              <c:f>'Barnalce Toxicity Assays'!$CB$5:$CB$10</c:f>
              <c:numCache>
                <c:formatCode>General</c:formatCode>
                <c:ptCount val="6"/>
                <c:pt idx="0">
                  <c:v>0</c:v>
                </c:pt>
                <c:pt idx="1">
                  <c:v>5.7240984544934169E-2</c:v>
                </c:pt>
                <c:pt idx="2">
                  <c:v>0.1717229536348025</c:v>
                </c:pt>
                <c:pt idx="3">
                  <c:v>0.5151688609044075</c:v>
                </c:pt>
                <c:pt idx="4">
                  <c:v>1.5455065827132224</c:v>
                </c:pt>
                <c:pt idx="5">
                  <c:v>4.6365197481396674</c:v>
                </c:pt>
              </c:numCache>
            </c:numRef>
          </c:cat>
          <c:val>
            <c:numRef>
              <c:f>'Barnalce Toxicity Assays'!$CF$5:$CF$10</c:f>
              <c:numCache>
                <c:formatCode>General</c:formatCode>
                <c:ptCount val="6"/>
                <c:pt idx="0">
                  <c:v>10</c:v>
                </c:pt>
                <c:pt idx="3">
                  <c:v>42.105263157894733</c:v>
                </c:pt>
                <c:pt idx="4">
                  <c:v>62.5</c:v>
                </c:pt>
                <c:pt idx="5">
                  <c:v>72.727272727272734</c:v>
                </c:pt>
              </c:numCache>
            </c:numRef>
          </c:val>
          <c:extLst>
            <c:ext xmlns:c16="http://schemas.microsoft.com/office/drawing/2014/chart" uri="{C3380CC4-5D6E-409C-BE32-E72D297353CC}">
              <c16:uniqueId val="{00000000-5447-474C-B904-A844CFBF703E}"/>
            </c:ext>
          </c:extLst>
        </c:ser>
        <c:dLbls>
          <c:showLegendKey val="0"/>
          <c:showVal val="0"/>
          <c:showCatName val="0"/>
          <c:showSerName val="0"/>
          <c:showPercent val="0"/>
          <c:showBubbleSize val="0"/>
        </c:dLbls>
        <c:gapWidth val="219"/>
        <c:overlap val="-27"/>
        <c:axId val="1521993024"/>
        <c:axId val="1521995712"/>
      </c:barChart>
      <c:catAx>
        <c:axId val="152199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95712"/>
        <c:crosses val="autoZero"/>
        <c:auto val="1"/>
        <c:lblAlgn val="ctr"/>
        <c:lblOffset val="100"/>
        <c:noMultiLvlLbl val="0"/>
      </c:catAx>
      <c:valAx>
        <c:axId val="1521995712"/>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9302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PS in</a:t>
            </a:r>
            <a:r>
              <a:rPr lang="en-US" baseline="0"/>
              <a:t> RPD % Mortality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lumMod val="20000"/>
                <a:lumOff val="80000"/>
              </a:schemeClr>
            </a:solidFill>
            <a:ln>
              <a:noFill/>
            </a:ln>
            <a:effectLst/>
          </c:spPr>
          <c:invertIfNegative val="0"/>
          <c:cat>
            <c:numRef>
              <c:f>'Barnalce Toxicity Assays'!$BV$53:$BV$58</c:f>
              <c:numCache>
                <c:formatCode>General</c:formatCode>
                <c:ptCount val="6"/>
                <c:pt idx="0">
                  <c:v>0</c:v>
                </c:pt>
                <c:pt idx="1">
                  <c:v>4.9382716049382713E-2</c:v>
                </c:pt>
                <c:pt idx="2">
                  <c:v>0.14814814814814814</c:v>
                </c:pt>
                <c:pt idx="3">
                  <c:v>0.44444444444444442</c:v>
                </c:pt>
                <c:pt idx="4">
                  <c:v>1.3333333333333333</c:v>
                </c:pt>
                <c:pt idx="5">
                  <c:v>4</c:v>
                </c:pt>
              </c:numCache>
            </c:numRef>
          </c:cat>
          <c:val>
            <c:numRef>
              <c:f>'Barnalce Toxicity Assays'!$BW$53:$BW$58</c:f>
              <c:numCache>
                <c:formatCode>General</c:formatCode>
                <c:ptCount val="6"/>
                <c:pt idx="0">
                  <c:v>21.739130434782609</c:v>
                </c:pt>
                <c:pt idx="1">
                  <c:v>28.205128205128204</c:v>
                </c:pt>
                <c:pt idx="2">
                  <c:v>30.882352941176471</c:v>
                </c:pt>
                <c:pt idx="3">
                  <c:v>29.268292682926827</c:v>
                </c:pt>
                <c:pt idx="4">
                  <c:v>38.095238095238095</c:v>
                </c:pt>
                <c:pt idx="5">
                  <c:v>42.105263157894733</c:v>
                </c:pt>
              </c:numCache>
            </c:numRef>
          </c:val>
          <c:extLst>
            <c:ext xmlns:c16="http://schemas.microsoft.com/office/drawing/2014/chart" uri="{C3380CC4-5D6E-409C-BE32-E72D297353CC}">
              <c16:uniqueId val="{00000000-C515-4A4D-A446-328E41D5258F}"/>
            </c:ext>
          </c:extLst>
        </c:ser>
        <c:ser>
          <c:idx val="1"/>
          <c:order val="1"/>
          <c:spPr>
            <a:solidFill>
              <a:schemeClr val="tx2">
                <a:lumMod val="10000"/>
                <a:lumOff val="90000"/>
              </a:schemeClr>
            </a:solidFill>
            <a:ln>
              <a:noFill/>
            </a:ln>
            <a:effectLst/>
          </c:spPr>
          <c:invertIfNegative val="0"/>
          <c:cat>
            <c:numRef>
              <c:f>'Barnalce Toxicity Assays'!$BV$53:$BV$58</c:f>
              <c:numCache>
                <c:formatCode>General</c:formatCode>
                <c:ptCount val="6"/>
                <c:pt idx="0">
                  <c:v>0</c:v>
                </c:pt>
                <c:pt idx="1">
                  <c:v>4.9382716049382713E-2</c:v>
                </c:pt>
                <c:pt idx="2">
                  <c:v>0.14814814814814814</c:v>
                </c:pt>
                <c:pt idx="3">
                  <c:v>0.44444444444444442</c:v>
                </c:pt>
                <c:pt idx="4">
                  <c:v>1.3333333333333333</c:v>
                </c:pt>
                <c:pt idx="5">
                  <c:v>4</c:v>
                </c:pt>
              </c:numCache>
            </c:numRef>
          </c:cat>
          <c:val>
            <c:numRef>
              <c:f>'Barnalce Toxicity Assays'!$BX$53:$BX$58</c:f>
              <c:numCache>
                <c:formatCode>General</c:formatCode>
                <c:ptCount val="6"/>
                <c:pt idx="0">
                  <c:v>22.222222222222221</c:v>
                </c:pt>
                <c:pt idx="1">
                  <c:v>33.333333333333329</c:v>
                </c:pt>
                <c:pt idx="2">
                  <c:v>29.268292682926827</c:v>
                </c:pt>
                <c:pt idx="3">
                  <c:v>32</c:v>
                </c:pt>
                <c:pt idx="4">
                  <c:v>29.629629629629626</c:v>
                </c:pt>
                <c:pt idx="5">
                  <c:v>25.581395348837212</c:v>
                </c:pt>
              </c:numCache>
            </c:numRef>
          </c:val>
          <c:extLst>
            <c:ext xmlns:c16="http://schemas.microsoft.com/office/drawing/2014/chart" uri="{C3380CC4-5D6E-409C-BE32-E72D297353CC}">
              <c16:uniqueId val="{00000001-C515-4A4D-A446-328E41D5258F}"/>
            </c:ext>
          </c:extLst>
        </c:ser>
        <c:ser>
          <c:idx val="2"/>
          <c:order val="2"/>
          <c:spPr>
            <a:solidFill>
              <a:srgbClr val="D9D5FA"/>
            </a:solidFill>
            <a:ln>
              <a:noFill/>
            </a:ln>
            <a:effectLst/>
          </c:spPr>
          <c:invertIfNegative val="0"/>
          <c:cat>
            <c:numRef>
              <c:f>'Barnalce Toxicity Assays'!$BV$53:$BV$58</c:f>
              <c:numCache>
                <c:formatCode>General</c:formatCode>
                <c:ptCount val="6"/>
                <c:pt idx="0">
                  <c:v>0</c:v>
                </c:pt>
                <c:pt idx="1">
                  <c:v>4.9382716049382713E-2</c:v>
                </c:pt>
                <c:pt idx="2">
                  <c:v>0.14814814814814814</c:v>
                </c:pt>
                <c:pt idx="3">
                  <c:v>0.44444444444444442</c:v>
                </c:pt>
                <c:pt idx="4">
                  <c:v>1.3333333333333333</c:v>
                </c:pt>
                <c:pt idx="5">
                  <c:v>4</c:v>
                </c:pt>
              </c:numCache>
            </c:numRef>
          </c:cat>
          <c:val>
            <c:numRef>
              <c:f>'Barnalce Toxicity Assays'!$BY$53:$BY$58</c:f>
              <c:numCache>
                <c:formatCode>General</c:formatCode>
                <c:ptCount val="6"/>
                <c:pt idx="0">
                  <c:v>30</c:v>
                </c:pt>
                <c:pt idx="1">
                  <c:v>30</c:v>
                </c:pt>
                <c:pt idx="2">
                  <c:v>41.17647058823529</c:v>
                </c:pt>
                <c:pt idx="3">
                  <c:v>21.818181818181817</c:v>
                </c:pt>
                <c:pt idx="4">
                  <c:v>35.135135135135137</c:v>
                </c:pt>
                <c:pt idx="5">
                  <c:v>30.555555555555557</c:v>
                </c:pt>
              </c:numCache>
            </c:numRef>
          </c:val>
          <c:extLst>
            <c:ext xmlns:c16="http://schemas.microsoft.com/office/drawing/2014/chart" uri="{C3380CC4-5D6E-409C-BE32-E72D297353CC}">
              <c16:uniqueId val="{00000002-C515-4A4D-A446-328E41D5258F}"/>
            </c:ext>
          </c:extLst>
        </c:ser>
        <c:dLbls>
          <c:showLegendKey val="0"/>
          <c:showVal val="0"/>
          <c:showCatName val="0"/>
          <c:showSerName val="0"/>
          <c:showPercent val="0"/>
          <c:showBubbleSize val="0"/>
        </c:dLbls>
        <c:gapWidth val="219"/>
        <c:overlap val="-27"/>
        <c:axId val="1519488064"/>
        <c:axId val="1519488512"/>
      </c:barChart>
      <c:catAx>
        <c:axId val="151948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488512"/>
        <c:crosses val="autoZero"/>
        <c:auto val="1"/>
        <c:lblAlgn val="ctr"/>
        <c:lblOffset val="100"/>
        <c:noMultiLvlLbl val="0"/>
      </c:catAx>
      <c:valAx>
        <c:axId val="1519488512"/>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Mortality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48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5">
                  <a:lumMod val="20000"/>
                  <a:lumOff val="80000"/>
                </a:schemeClr>
              </a:solidFill>
              <a:ln w="9525">
                <a:solidFill>
                  <a:schemeClr val="accent5">
                    <a:lumMod val="20000"/>
                    <a:lumOff val="80000"/>
                  </a:schemeClr>
                </a:solidFill>
              </a:ln>
              <a:effectLst/>
            </c:spPr>
          </c:marker>
          <c:trendline>
            <c:spPr>
              <a:ln w="19050" cap="rnd">
                <a:solidFill>
                  <a:schemeClr val="accent5">
                    <a:lumMod val="20000"/>
                    <a:lumOff val="80000"/>
                  </a:schemeClr>
                </a:solidFill>
                <a:prstDash val="sysDot"/>
              </a:ln>
              <a:effectLst/>
            </c:spPr>
            <c:trendlineType val="linear"/>
            <c:dispRSqr val="1"/>
            <c:dispEq val="1"/>
            <c:trendlineLbl>
              <c:layout>
                <c:manualLayout>
                  <c:x val="-0.53669015919306562"/>
                  <c:y val="0.2408522762909136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Series 1:</a:t>
                    </a:r>
                  </a:p>
                  <a:p>
                    <a:pPr>
                      <a:defRPr/>
                    </a:pPr>
                    <a:r>
                      <a:rPr lang="en-US" baseline="0"/>
                      <a:t>y = 0.5053x + 4.9193</a:t>
                    </a:r>
                    <a:br>
                      <a:rPr lang="en-US" baseline="0"/>
                    </a:br>
                    <a:r>
                      <a:rPr lang="en-US" baseline="0"/>
                      <a:t>R² = 0.9649</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'Barnalce Toxicity Assays'!$BR$39:$BR$43</c:f>
              <c:numCache>
                <c:formatCode>General</c:formatCode>
                <c:ptCount val="5"/>
                <c:pt idx="0">
                  <c:v>-1.242292904982931</c:v>
                </c:pt>
                <c:pt idx="1">
                  <c:v>-0.7651716502632685</c:v>
                </c:pt>
                <c:pt idx="2">
                  <c:v>-0.28805039554360612</c:v>
                </c:pt>
                <c:pt idx="3">
                  <c:v>0.18907085917605629</c:v>
                </c:pt>
                <c:pt idx="4">
                  <c:v>0.66619211389571875</c:v>
                </c:pt>
              </c:numCache>
            </c:numRef>
          </c:xVal>
          <c:yVal>
            <c:numRef>
              <c:f>'Barnalce Toxicity Assays'!$BS$39:$BS$43</c:f>
              <c:numCache>
                <c:formatCode>General</c:formatCode>
                <c:ptCount val="5"/>
                <c:pt idx="0">
                  <c:v>4.3255102498039184</c:v>
                </c:pt>
                <c:pt idx="1">
                  <c:v>4.4858438992554657</c:v>
                </c:pt>
                <c:pt idx="2">
                  <c:v>4.8282529103624885</c:v>
                </c:pt>
                <c:pt idx="3">
                  <c:v>4.9103576489242373</c:v>
                </c:pt>
                <c:pt idx="4">
                  <c:v>5.3186393639643752</c:v>
                </c:pt>
              </c:numCache>
            </c:numRef>
          </c:yVal>
          <c:smooth val="0"/>
          <c:extLst>
            <c:ext xmlns:c16="http://schemas.microsoft.com/office/drawing/2014/chart" uri="{C3380CC4-5D6E-409C-BE32-E72D297353CC}">
              <c16:uniqueId val="{00000000-0554-644D-A521-7700283F2991}"/>
            </c:ext>
          </c:extLst>
        </c:ser>
        <c:ser>
          <c:idx val="1"/>
          <c:order val="1"/>
          <c:spPr>
            <a:ln w="38100" cap="rnd">
              <a:noFill/>
              <a:round/>
            </a:ln>
            <a:effectLst/>
          </c:spPr>
          <c:marker>
            <c:symbol val="circle"/>
            <c:size val="5"/>
            <c:spPr>
              <a:solidFill>
                <a:schemeClr val="accent4">
                  <a:lumMod val="20000"/>
                  <a:lumOff val="80000"/>
                </a:schemeClr>
              </a:solidFill>
              <a:ln w="9525">
                <a:solidFill>
                  <a:schemeClr val="accent4">
                    <a:lumMod val="20000"/>
                    <a:lumOff val="80000"/>
                  </a:schemeClr>
                </a:solidFill>
              </a:ln>
              <a:effectLst/>
            </c:spPr>
          </c:marker>
          <c:trendline>
            <c:spPr>
              <a:ln w="19050" cap="rnd">
                <a:solidFill>
                  <a:schemeClr val="accent4">
                    <a:lumMod val="20000"/>
                    <a:lumOff val="80000"/>
                  </a:schemeClr>
                </a:solidFill>
                <a:prstDash val="sysDot"/>
              </a:ln>
              <a:effectLst/>
            </c:spPr>
            <c:trendlineType val="linear"/>
            <c:dispRSqr val="1"/>
            <c:dispEq val="1"/>
            <c:trendlineLbl>
              <c:layout>
                <c:manualLayout>
                  <c:x val="-0.29633774940283442"/>
                  <c:y val="0.2394584569068248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Series 2:</a:t>
                    </a:r>
                  </a:p>
                  <a:p>
                    <a:pPr>
                      <a:defRPr/>
                    </a:pPr>
                    <a:r>
                      <a:rPr lang="en-US" baseline="0"/>
                      <a:t>y = 0.211x + 4.5093</a:t>
                    </a:r>
                    <a:br>
                      <a:rPr lang="en-US" baseline="0"/>
                    </a:br>
                    <a:r>
                      <a:rPr lang="en-US" baseline="0"/>
                      <a:t>R² = 0.7733</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'Barnalce Toxicity Assays'!$BR$39:$BR$43</c:f>
              <c:numCache>
                <c:formatCode>General</c:formatCode>
                <c:ptCount val="5"/>
                <c:pt idx="0">
                  <c:v>-1.242292904982931</c:v>
                </c:pt>
                <c:pt idx="1">
                  <c:v>-0.7651716502632685</c:v>
                </c:pt>
                <c:pt idx="2">
                  <c:v>-0.28805039554360612</c:v>
                </c:pt>
                <c:pt idx="3">
                  <c:v>0.18907085917605629</c:v>
                </c:pt>
                <c:pt idx="4">
                  <c:v>0.66619211389571875</c:v>
                </c:pt>
              </c:numCache>
            </c:numRef>
          </c:xVal>
          <c:yVal>
            <c:numRef>
              <c:f>'Barnalce Toxicity Assays'!$BT$39:$BT$43</c:f>
              <c:numCache>
                <c:formatCode>General</c:formatCode>
                <c:ptCount val="5"/>
                <c:pt idx="0">
                  <c:v>4.1745055090707641</c:v>
                </c:pt>
                <c:pt idx="1">
                  <c:v>4.4755994872919587</c:v>
                </c:pt>
                <c:pt idx="2">
                  <c:v>4.3788223735686476</c:v>
                </c:pt>
                <c:pt idx="3">
                  <c:v>4.5960840266555909</c:v>
                </c:pt>
                <c:pt idx="4">
                  <c:v>4.6175500678151744</c:v>
                </c:pt>
              </c:numCache>
            </c:numRef>
          </c:yVal>
          <c:smooth val="0"/>
          <c:extLst>
            <c:ext xmlns:c16="http://schemas.microsoft.com/office/drawing/2014/chart" uri="{C3380CC4-5D6E-409C-BE32-E72D297353CC}">
              <c16:uniqueId val="{00000001-0554-644D-A521-7700283F2991}"/>
            </c:ext>
          </c:extLst>
        </c:ser>
        <c:ser>
          <c:idx val="2"/>
          <c:order val="2"/>
          <c:spPr>
            <a:ln w="38100" cap="rnd">
              <a:noFill/>
              <a:round/>
            </a:ln>
            <a:effectLst/>
          </c:spPr>
          <c:marker>
            <c:symbol val="circle"/>
            <c:size val="5"/>
            <c:spPr>
              <a:solidFill>
                <a:schemeClr val="accent2">
                  <a:lumMod val="20000"/>
                  <a:lumOff val="80000"/>
                </a:schemeClr>
              </a:solidFill>
              <a:ln w="9525">
                <a:solidFill>
                  <a:schemeClr val="accent2">
                    <a:lumMod val="20000"/>
                    <a:lumOff val="80000"/>
                  </a:schemeClr>
                </a:solidFill>
              </a:ln>
              <a:effectLst/>
            </c:spPr>
          </c:marker>
          <c:trendline>
            <c:spPr>
              <a:ln w="19050" cap="rnd">
                <a:solidFill>
                  <a:schemeClr val="accent2">
                    <a:lumMod val="20000"/>
                    <a:lumOff val="80000"/>
                  </a:schemeClr>
                </a:solidFill>
                <a:prstDash val="sysDot"/>
              </a:ln>
              <a:effectLst/>
            </c:spPr>
            <c:trendlineType val="linear"/>
            <c:dispRSqr val="1"/>
            <c:dispEq val="1"/>
            <c:trendlineLbl>
              <c:layout>
                <c:manualLayout>
                  <c:x val="5.0009961882116996E-2"/>
                  <c:y val="0.2575813345041081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Series 3:</a:t>
                    </a:r>
                  </a:p>
                  <a:p>
                    <a:pPr>
                      <a:defRPr/>
                    </a:pPr>
                    <a:r>
                      <a:rPr lang="en-US" baseline="0"/>
                      <a:t>y = 0.1773x + 4.5803</a:t>
                    </a:r>
                    <a:br>
                      <a:rPr lang="en-US" baseline="0"/>
                    </a:br>
                    <a:r>
                      <a:rPr lang="en-US" baseline="0"/>
                      <a:t>R² = 0.7744</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'Barnalce Toxicity Assays'!$BR$39:$BR$43</c:f>
              <c:numCache>
                <c:formatCode>General</c:formatCode>
                <c:ptCount val="5"/>
                <c:pt idx="0">
                  <c:v>-1.242292904982931</c:v>
                </c:pt>
                <c:pt idx="1">
                  <c:v>-0.7651716502632685</c:v>
                </c:pt>
                <c:pt idx="2">
                  <c:v>-0.28805039554360612</c:v>
                </c:pt>
                <c:pt idx="3">
                  <c:v>0.18907085917605629</c:v>
                </c:pt>
                <c:pt idx="4">
                  <c:v>0.66619211389571875</c:v>
                </c:pt>
              </c:numCache>
            </c:numRef>
          </c:xVal>
          <c:yVal>
            <c:numRef>
              <c:f>'Barnalce Toxicity Assays'!$BU$39:$BU$43</c:f>
              <c:numCache>
                <c:formatCode>General</c:formatCode>
                <c:ptCount val="5"/>
                <c:pt idx="0">
                  <c:v>4.3255102498039184</c:v>
                </c:pt>
                <c:pt idx="1">
                  <c:v>4.5337347386293638</c:v>
                </c:pt>
                <c:pt idx="2">
                  <c:v>4.4371388134586347</c:v>
                </c:pt>
                <c:pt idx="3">
                  <c:v>4.6681466535631833</c:v>
                </c:pt>
                <c:pt idx="4">
                  <c:v>4.6813606360356248</c:v>
                </c:pt>
              </c:numCache>
            </c:numRef>
          </c:yVal>
          <c:smooth val="0"/>
          <c:extLst>
            <c:ext xmlns:c16="http://schemas.microsoft.com/office/drawing/2014/chart" uri="{C3380CC4-5D6E-409C-BE32-E72D297353CC}">
              <c16:uniqueId val="{00000002-0554-644D-A521-7700283F2991}"/>
            </c:ext>
          </c:extLst>
        </c:ser>
        <c:ser>
          <c:idx val="3"/>
          <c:order val="3"/>
          <c:spPr>
            <a:ln w="25400" cap="rnd">
              <a:noFill/>
              <a:round/>
            </a:ln>
            <a:effectLst/>
          </c:spPr>
          <c:marker>
            <c:symbol val="circle"/>
            <c:size val="5"/>
            <c:spPr>
              <a:solidFill>
                <a:schemeClr val="accent6">
                  <a:lumMod val="20000"/>
                  <a:lumOff val="80000"/>
                </a:schemeClr>
              </a:solidFill>
              <a:ln w="9525">
                <a:solidFill>
                  <a:schemeClr val="accent6">
                    <a:lumMod val="20000"/>
                    <a:lumOff val="80000"/>
                  </a:schemeClr>
                </a:solidFill>
              </a:ln>
              <a:effectLst/>
            </c:spPr>
          </c:marker>
          <c:trendline>
            <c:spPr>
              <a:ln w="19050" cap="rnd">
                <a:solidFill>
                  <a:schemeClr val="accent6">
                    <a:lumMod val="20000"/>
                    <a:lumOff val="80000"/>
                  </a:schemeClr>
                </a:solidFill>
                <a:prstDash val="sysDot"/>
              </a:ln>
              <a:effectLst/>
            </c:spPr>
            <c:trendlineType val="linear"/>
            <c:dispRSqr val="0"/>
            <c:dispEq val="0"/>
          </c:trendline>
          <c:xVal>
            <c:numRef>
              <c:f>'Barnalce Toxicity Assays'!$BR$39:$BR$43</c:f>
              <c:numCache>
                <c:formatCode>General</c:formatCode>
                <c:ptCount val="5"/>
                <c:pt idx="0">
                  <c:v>-1.242292904982931</c:v>
                </c:pt>
                <c:pt idx="1">
                  <c:v>-0.7651716502632685</c:v>
                </c:pt>
                <c:pt idx="2">
                  <c:v>-0.28805039554360612</c:v>
                </c:pt>
                <c:pt idx="3">
                  <c:v>0.18907085917605629</c:v>
                </c:pt>
                <c:pt idx="4">
                  <c:v>0.66619211389571875</c:v>
                </c:pt>
              </c:numCache>
            </c:numRef>
          </c:xVal>
          <c:yVal>
            <c:numRef>
              <c:f>'Barnalce Toxicity Assays'!$BV$39:$BV$43</c:f>
              <c:numCache>
                <c:formatCode>General</c:formatCode>
                <c:ptCount val="5"/>
                <c:pt idx="2">
                  <c:v>4.8108815737272073</c:v>
                </c:pt>
                <c:pt idx="3">
                  <c:v>5.2993069104656669</c:v>
                </c:pt>
                <c:pt idx="4">
                  <c:v>5.548522282698098</c:v>
                </c:pt>
              </c:numCache>
            </c:numRef>
          </c:yVal>
          <c:smooth val="0"/>
          <c:extLst>
            <c:ext xmlns:c16="http://schemas.microsoft.com/office/drawing/2014/chart" uri="{C3380CC4-5D6E-409C-BE32-E72D297353CC}">
              <c16:uniqueId val="{00000006-0554-644D-A521-7700283F2991}"/>
            </c:ext>
          </c:extLst>
        </c:ser>
        <c:dLbls>
          <c:showLegendKey val="0"/>
          <c:showVal val="0"/>
          <c:showCatName val="0"/>
          <c:showSerName val="0"/>
          <c:showPercent val="0"/>
          <c:showBubbleSize val="0"/>
        </c:dLbls>
        <c:axId val="1519728192"/>
        <c:axId val="1521951936"/>
      </c:scatterChart>
      <c:valAx>
        <c:axId val="1519728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Log(10) Concentration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51936"/>
        <c:crosses val="autoZero"/>
        <c:crossBetween val="midCat"/>
      </c:valAx>
      <c:valAx>
        <c:axId val="152195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Probit (%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7281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6">
                  <a:lumMod val="20000"/>
                  <a:lumOff val="80000"/>
                </a:schemeClr>
              </a:solidFill>
              <a:ln w="9525">
                <a:solidFill>
                  <a:schemeClr val="accent6">
                    <a:lumMod val="20000"/>
                    <a:lumOff val="80000"/>
                  </a:schemeClr>
                </a:solidFill>
              </a:ln>
              <a:effectLst/>
            </c:spPr>
          </c:marker>
          <c:xVal>
            <c:numRef>
              <c:f>'Barnalce Toxicity Assays'!$BQ$82:$BQ$86</c:f>
              <c:numCache>
                <c:formatCode>General</c:formatCode>
                <c:ptCount val="5"/>
                <c:pt idx="0">
                  <c:v>-1.3064250275506875</c:v>
                </c:pt>
                <c:pt idx="1">
                  <c:v>-0.82930377283102497</c:v>
                </c:pt>
                <c:pt idx="2">
                  <c:v>-0.35218251811136253</c:v>
                </c:pt>
                <c:pt idx="3">
                  <c:v>0.12493873660829993</c:v>
                </c:pt>
                <c:pt idx="4">
                  <c:v>0.6020599913279624</c:v>
                </c:pt>
              </c:numCache>
            </c:numRef>
          </c:xVal>
          <c:yVal>
            <c:numRef>
              <c:f>'Barnalce Toxicity Assays'!$BR$82:$BR$86</c:f>
              <c:numCache>
                <c:formatCode>General</c:formatCode>
                <c:ptCount val="5"/>
                <c:pt idx="0">
                  <c:v>4.4392969681249168</c:v>
                </c:pt>
                <c:pt idx="1">
                  <c:v>4.5086634116738615</c:v>
                </c:pt>
                <c:pt idx="2">
                  <c:v>4.4616876778305663</c:v>
                </c:pt>
                <c:pt idx="3">
                  <c:v>4.7111906449255363</c:v>
                </c:pt>
                <c:pt idx="4">
                  <c:v>4.8108815737272073</c:v>
                </c:pt>
              </c:numCache>
            </c:numRef>
          </c:yVal>
          <c:smooth val="0"/>
          <c:extLst>
            <c:ext xmlns:c16="http://schemas.microsoft.com/office/drawing/2014/chart" uri="{C3380CC4-5D6E-409C-BE32-E72D297353CC}">
              <c16:uniqueId val="{00000000-9DA0-F64D-A6E6-AD78074010FD}"/>
            </c:ext>
          </c:extLst>
        </c:ser>
        <c:ser>
          <c:idx val="1"/>
          <c:order val="1"/>
          <c:spPr>
            <a:ln w="38100" cap="rnd">
              <a:noFill/>
              <a:round/>
            </a:ln>
            <a:effectLst/>
          </c:spPr>
          <c:marker>
            <c:symbol val="circle"/>
            <c:size val="5"/>
            <c:spPr>
              <a:solidFill>
                <a:schemeClr val="tx2">
                  <a:lumMod val="10000"/>
                  <a:lumOff val="90000"/>
                </a:schemeClr>
              </a:solidFill>
              <a:ln w="9525">
                <a:solidFill>
                  <a:schemeClr val="tx2">
                    <a:lumMod val="10000"/>
                    <a:lumOff val="90000"/>
                  </a:schemeClr>
                </a:solidFill>
              </a:ln>
              <a:effectLst/>
            </c:spPr>
          </c:marker>
          <c:xVal>
            <c:numRef>
              <c:f>'Barnalce Toxicity Assays'!$BQ$82:$BQ$86</c:f>
              <c:numCache>
                <c:formatCode>General</c:formatCode>
                <c:ptCount val="5"/>
                <c:pt idx="0">
                  <c:v>-1.3064250275506875</c:v>
                </c:pt>
                <c:pt idx="1">
                  <c:v>-0.82930377283102497</c:v>
                </c:pt>
                <c:pt idx="2">
                  <c:v>-0.35218251811136253</c:v>
                </c:pt>
                <c:pt idx="3">
                  <c:v>0.12493873660829993</c:v>
                </c:pt>
                <c:pt idx="4">
                  <c:v>0.6020599913279624</c:v>
                </c:pt>
              </c:numCache>
            </c:numRef>
          </c:xVal>
          <c:yVal>
            <c:numRef>
              <c:f>'Barnalce Toxicity Assays'!$BS$82:$BS$86</c:f>
              <c:numCache>
                <c:formatCode>General</c:formatCode>
                <c:ptCount val="5"/>
                <c:pt idx="0">
                  <c:v>4.587536870558595</c:v>
                </c:pt>
                <c:pt idx="1">
                  <c:v>4.4687392426364259</c:v>
                </c:pt>
                <c:pt idx="2">
                  <c:v>4.5515745166940649</c:v>
                </c:pt>
                <c:pt idx="3">
                  <c:v>4.4858438992554657</c:v>
                </c:pt>
                <c:pt idx="4">
                  <c:v>4.3608529474035276</c:v>
                </c:pt>
              </c:numCache>
            </c:numRef>
          </c:yVal>
          <c:smooth val="0"/>
          <c:extLst>
            <c:ext xmlns:c16="http://schemas.microsoft.com/office/drawing/2014/chart" uri="{C3380CC4-5D6E-409C-BE32-E72D297353CC}">
              <c16:uniqueId val="{00000001-9DA0-F64D-A6E6-AD78074010FD}"/>
            </c:ext>
          </c:extLst>
        </c:ser>
        <c:ser>
          <c:idx val="2"/>
          <c:order val="2"/>
          <c:spPr>
            <a:ln w="38100" cap="rnd">
              <a:noFill/>
              <a:round/>
            </a:ln>
            <a:effectLst/>
          </c:spPr>
          <c:marker>
            <c:symbol val="circle"/>
            <c:size val="5"/>
            <c:spPr>
              <a:solidFill>
                <a:srgbClr val="D9D5FA"/>
              </a:solidFill>
              <a:ln w="9525">
                <a:solidFill>
                  <a:srgbClr val="D9D5FA"/>
                </a:solidFill>
              </a:ln>
              <a:effectLst/>
            </c:spPr>
          </c:marker>
          <c:xVal>
            <c:numRef>
              <c:f>'Barnalce Toxicity Assays'!$BQ$82:$BQ$86</c:f>
              <c:numCache>
                <c:formatCode>General</c:formatCode>
                <c:ptCount val="5"/>
                <c:pt idx="0">
                  <c:v>-1.3064250275506875</c:v>
                </c:pt>
                <c:pt idx="1">
                  <c:v>-0.82930377283102497</c:v>
                </c:pt>
                <c:pt idx="2">
                  <c:v>-0.35218251811136253</c:v>
                </c:pt>
                <c:pt idx="3">
                  <c:v>0.12493873660829993</c:v>
                </c:pt>
                <c:pt idx="4">
                  <c:v>0.6020599913279624</c:v>
                </c:pt>
              </c:numCache>
            </c:numRef>
          </c:xVal>
          <c:yVal>
            <c:numRef>
              <c:f>'Barnalce Toxicity Assays'!$BT$82:$BT$86</c:f>
              <c:numCache>
                <c:formatCode>General</c:formatCode>
                <c:ptCount val="5"/>
                <c:pt idx="0">
                  <c:v>4.5027994293184461</c:v>
                </c:pt>
                <c:pt idx="1">
                  <c:v>4.7895716057520756</c:v>
                </c:pt>
                <c:pt idx="2">
                  <c:v>4.2386173903135749</c:v>
                </c:pt>
                <c:pt idx="3">
                  <c:v>4.6288506767977164</c:v>
                </c:pt>
                <c:pt idx="4">
                  <c:v>4.5064466049104546</c:v>
                </c:pt>
              </c:numCache>
            </c:numRef>
          </c:yVal>
          <c:smooth val="0"/>
          <c:extLst>
            <c:ext xmlns:c16="http://schemas.microsoft.com/office/drawing/2014/chart" uri="{C3380CC4-5D6E-409C-BE32-E72D297353CC}">
              <c16:uniqueId val="{00000002-9DA0-F64D-A6E6-AD78074010FD}"/>
            </c:ext>
          </c:extLst>
        </c:ser>
        <c:dLbls>
          <c:showLegendKey val="0"/>
          <c:showVal val="0"/>
          <c:showCatName val="0"/>
          <c:showSerName val="0"/>
          <c:showPercent val="0"/>
          <c:showBubbleSize val="0"/>
        </c:dLbls>
        <c:axId val="1543921536"/>
        <c:axId val="1543913920"/>
      </c:scatterChart>
      <c:valAx>
        <c:axId val="1543921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Log(10)</a:t>
                </a:r>
                <a:r>
                  <a:rPr lang="en-US" baseline="0"/>
                  <a:t> Concentration (mg/mL)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13920"/>
        <c:crosses val="autoZero"/>
        <c:crossBetween val="midCat"/>
      </c:valAx>
      <c:valAx>
        <c:axId val="1543913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Probit (% mortality)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215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820785</xdr:colOff>
      <xdr:row>32</xdr:row>
      <xdr:rowOff>124621</xdr:rowOff>
    </xdr:from>
    <xdr:to>
      <xdr:col>12</xdr:col>
      <xdr:colOff>144004</xdr:colOff>
      <xdr:row>46</xdr:row>
      <xdr:rowOff>7830</xdr:rowOff>
    </xdr:to>
    <xdr:graphicFrame macro="">
      <xdr:nvGraphicFramePr>
        <xdr:cNvPr id="13" name="Chart 12">
          <a:extLst>
            <a:ext uri="{FF2B5EF4-FFF2-40B4-BE49-F238E27FC236}">
              <a16:creationId xmlns:a16="http://schemas.microsoft.com/office/drawing/2014/main" id="{179D03C2-A983-621F-4FFB-985A92E2B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742578</xdr:colOff>
      <xdr:row>55</xdr:row>
      <xdr:rowOff>149412</xdr:rowOff>
    </xdr:from>
    <xdr:to>
      <xdr:col>12</xdr:col>
      <xdr:colOff>784412</xdr:colOff>
      <xdr:row>67</xdr:row>
      <xdr:rowOff>94503</xdr:rowOff>
    </xdr:to>
    <xdr:graphicFrame macro="">
      <xdr:nvGraphicFramePr>
        <xdr:cNvPr id="15" name="Chart 14">
          <a:extLst>
            <a:ext uri="{FF2B5EF4-FFF2-40B4-BE49-F238E27FC236}">
              <a16:creationId xmlns:a16="http://schemas.microsoft.com/office/drawing/2014/main" id="{BF530130-0F7D-15B4-4415-83C7CE23A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647700</xdr:colOff>
      <xdr:row>78</xdr:row>
      <xdr:rowOff>158750</xdr:rowOff>
    </xdr:from>
    <xdr:to>
      <xdr:col>12</xdr:col>
      <xdr:colOff>0</xdr:colOff>
      <xdr:row>92</xdr:row>
      <xdr:rowOff>31750</xdr:rowOff>
    </xdr:to>
    <xdr:graphicFrame macro="">
      <xdr:nvGraphicFramePr>
        <xdr:cNvPr id="5" name="Chart 4">
          <a:extLst>
            <a:ext uri="{FF2B5EF4-FFF2-40B4-BE49-F238E27FC236}">
              <a16:creationId xmlns:a16="http://schemas.microsoft.com/office/drawing/2014/main" id="{EA6C9444-0180-7EF0-E290-9E9CE2128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345440</xdr:colOff>
      <xdr:row>14</xdr:row>
      <xdr:rowOff>198120</xdr:rowOff>
    </xdr:from>
    <xdr:to>
      <xdr:col>20</xdr:col>
      <xdr:colOff>751840</xdr:colOff>
      <xdr:row>28</xdr:row>
      <xdr:rowOff>66040</xdr:rowOff>
    </xdr:to>
    <xdr:graphicFrame macro="">
      <xdr:nvGraphicFramePr>
        <xdr:cNvPr id="2" name="Chart 1">
          <a:extLst>
            <a:ext uri="{FF2B5EF4-FFF2-40B4-BE49-F238E27FC236}">
              <a16:creationId xmlns:a16="http://schemas.microsoft.com/office/drawing/2014/main" id="{959376C1-B5F9-9E0C-18B3-9EC5947EE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410435</xdr:colOff>
      <xdr:row>107</xdr:row>
      <xdr:rowOff>162836</xdr:rowOff>
    </xdr:from>
    <xdr:to>
      <xdr:col>9</xdr:col>
      <xdr:colOff>799902</xdr:colOff>
      <xdr:row>121</xdr:row>
      <xdr:rowOff>61237</xdr:rowOff>
    </xdr:to>
    <xdr:graphicFrame macro="">
      <xdr:nvGraphicFramePr>
        <xdr:cNvPr id="4" name="Chart 3">
          <a:extLst>
            <a:ext uri="{FF2B5EF4-FFF2-40B4-BE49-F238E27FC236}">
              <a16:creationId xmlns:a16="http://schemas.microsoft.com/office/drawing/2014/main" id="{E549A397-6014-5629-FB78-61B47FDBF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545283</xdr:colOff>
      <xdr:row>15</xdr:row>
      <xdr:rowOff>44043</xdr:rowOff>
    </xdr:from>
    <xdr:to>
      <xdr:col>25</xdr:col>
      <xdr:colOff>713063</xdr:colOff>
      <xdr:row>28</xdr:row>
      <xdr:rowOff>142381</xdr:rowOff>
    </xdr:to>
    <xdr:graphicFrame macro="">
      <xdr:nvGraphicFramePr>
        <xdr:cNvPr id="6" name="Chart 5">
          <a:extLst>
            <a:ext uri="{FF2B5EF4-FFF2-40B4-BE49-F238E27FC236}">
              <a16:creationId xmlns:a16="http://schemas.microsoft.com/office/drawing/2014/main" id="{F4AB77FA-5DA4-54E2-4443-E4DD5CD3D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1079656</xdr:colOff>
      <xdr:row>59</xdr:row>
      <xdr:rowOff>77212</xdr:rowOff>
    </xdr:from>
    <xdr:to>
      <xdr:col>19</xdr:col>
      <xdr:colOff>1131268</xdr:colOff>
      <xdr:row>72</xdr:row>
      <xdr:rowOff>98983</xdr:rowOff>
    </xdr:to>
    <xdr:graphicFrame macro="">
      <xdr:nvGraphicFramePr>
        <xdr:cNvPr id="3" name="Chart 2">
          <a:extLst>
            <a:ext uri="{FF2B5EF4-FFF2-40B4-BE49-F238E27FC236}">
              <a16:creationId xmlns:a16="http://schemas.microsoft.com/office/drawing/2014/main" id="{4508957B-65F2-B95E-7ACA-124C0322E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450850</xdr:colOff>
      <xdr:row>59</xdr:row>
      <xdr:rowOff>82550</xdr:rowOff>
    </xdr:from>
    <xdr:to>
      <xdr:col>24</xdr:col>
      <xdr:colOff>641350</xdr:colOff>
      <xdr:row>72</xdr:row>
      <xdr:rowOff>158750</xdr:rowOff>
    </xdr:to>
    <xdr:graphicFrame macro="">
      <xdr:nvGraphicFramePr>
        <xdr:cNvPr id="7" name="Chart 6">
          <a:extLst>
            <a:ext uri="{FF2B5EF4-FFF2-40B4-BE49-F238E27FC236}">
              <a16:creationId xmlns:a16="http://schemas.microsoft.com/office/drawing/2014/main" id="{B705E1FE-6FE8-0BBA-DA51-90323D70E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51</xdr:col>
      <xdr:colOff>337155</xdr:colOff>
      <xdr:row>23</xdr:row>
      <xdr:rowOff>57149</xdr:rowOff>
    </xdr:from>
    <xdr:to>
      <xdr:col>56</xdr:col>
      <xdr:colOff>751417</xdr:colOff>
      <xdr:row>36</xdr:row>
      <xdr:rowOff>184754</xdr:rowOff>
    </xdr:to>
    <xdr:graphicFrame macro="">
      <xdr:nvGraphicFramePr>
        <xdr:cNvPr id="8" name="Chart 7">
          <a:extLst>
            <a:ext uri="{FF2B5EF4-FFF2-40B4-BE49-F238E27FC236}">
              <a16:creationId xmlns:a16="http://schemas.microsoft.com/office/drawing/2014/main" id="{8ACCE160-10D6-7817-16EE-21C15D1B1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57</xdr:col>
      <xdr:colOff>225354</xdr:colOff>
      <xdr:row>23</xdr:row>
      <xdr:rowOff>32084</xdr:rowOff>
    </xdr:from>
    <xdr:to>
      <xdr:col>62</xdr:col>
      <xdr:colOff>691339</xdr:colOff>
      <xdr:row>36</xdr:row>
      <xdr:rowOff>92051</xdr:rowOff>
    </xdr:to>
    <xdr:graphicFrame macro="">
      <xdr:nvGraphicFramePr>
        <xdr:cNvPr id="9" name="Chart 8">
          <a:extLst>
            <a:ext uri="{FF2B5EF4-FFF2-40B4-BE49-F238E27FC236}">
              <a16:creationId xmlns:a16="http://schemas.microsoft.com/office/drawing/2014/main" id="{65BD0860-6AF7-40BF-134A-F76E63380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78</xdr:col>
      <xdr:colOff>275344</xdr:colOff>
      <xdr:row>11</xdr:row>
      <xdr:rowOff>106509</xdr:rowOff>
    </xdr:from>
    <xdr:to>
      <xdr:col>83</xdr:col>
      <xdr:colOff>738521</xdr:colOff>
      <xdr:row>24</xdr:row>
      <xdr:rowOff>117609</xdr:rowOff>
    </xdr:to>
    <xdr:graphicFrame macro="">
      <xdr:nvGraphicFramePr>
        <xdr:cNvPr id="14" name="Chart 13">
          <a:extLst>
            <a:ext uri="{FF2B5EF4-FFF2-40B4-BE49-F238E27FC236}">
              <a16:creationId xmlns:a16="http://schemas.microsoft.com/office/drawing/2014/main" id="{97089476-E232-8354-E9D1-DC4DAC9A3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77</xdr:col>
      <xdr:colOff>558800</xdr:colOff>
      <xdr:row>51</xdr:row>
      <xdr:rowOff>118534</xdr:rowOff>
    </xdr:from>
    <xdr:to>
      <xdr:col>83</xdr:col>
      <xdr:colOff>152400</xdr:colOff>
      <xdr:row>64</xdr:row>
      <xdr:rowOff>135467</xdr:rowOff>
    </xdr:to>
    <xdr:graphicFrame macro="">
      <xdr:nvGraphicFramePr>
        <xdr:cNvPr id="16" name="Chart 15">
          <a:extLst>
            <a:ext uri="{FF2B5EF4-FFF2-40B4-BE49-F238E27FC236}">
              <a16:creationId xmlns:a16="http://schemas.microsoft.com/office/drawing/2014/main" id="{4C738268-0E9E-A8B6-8816-93D23D303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74</xdr:col>
      <xdr:colOff>759958</xdr:colOff>
      <xdr:row>36</xdr:row>
      <xdr:rowOff>83136</xdr:rowOff>
    </xdr:from>
    <xdr:to>
      <xdr:col>80</xdr:col>
      <xdr:colOff>374368</xdr:colOff>
      <xdr:row>49</xdr:row>
      <xdr:rowOff>168211</xdr:rowOff>
    </xdr:to>
    <xdr:graphicFrame macro="">
      <xdr:nvGraphicFramePr>
        <xdr:cNvPr id="11" name="Chart 10">
          <a:extLst>
            <a:ext uri="{FF2B5EF4-FFF2-40B4-BE49-F238E27FC236}">
              <a16:creationId xmlns:a16="http://schemas.microsoft.com/office/drawing/2014/main" id="{7B0D5AAA-8AC4-1A76-F256-F594FE14E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72</xdr:col>
      <xdr:colOff>649724</xdr:colOff>
      <xdr:row>81</xdr:row>
      <xdr:rowOff>8835</xdr:rowOff>
    </xdr:from>
    <xdr:to>
      <xdr:col>78</xdr:col>
      <xdr:colOff>252159</xdr:colOff>
      <xdr:row>94</xdr:row>
      <xdr:rowOff>64789</xdr:rowOff>
    </xdr:to>
    <xdr:graphicFrame macro="">
      <xdr:nvGraphicFramePr>
        <xdr:cNvPr id="12" name="Chart 11">
          <a:extLst>
            <a:ext uri="{FF2B5EF4-FFF2-40B4-BE49-F238E27FC236}">
              <a16:creationId xmlns:a16="http://schemas.microsoft.com/office/drawing/2014/main" id="{CBC18539-AB3E-6219-D601-067967F02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1FAE-AF0A-9E48-B35B-8EA71FFC0229}">
  <dimension ref="B1:EI133"/>
  <sheetViews>
    <sheetView topLeftCell="BI42" zoomScale="139" zoomScaleNormal="118" workbookViewId="0">
      <selection activeCell="BM48" sqref="BM48"/>
    </sheetView>
  </sheetViews>
  <sheetFormatPr baseColWidth="10" defaultRowHeight="16" x14ac:dyDescent="0.2"/>
  <cols>
    <col min="1" max="1" width="10.83203125" customWidth="1"/>
    <col min="2" max="2" width="20.1640625" customWidth="1"/>
    <col min="3" max="3" width="12.1640625" bestFit="1" customWidth="1"/>
    <col min="4" max="4" width="16.5" bestFit="1" customWidth="1"/>
    <col min="6" max="6" width="16.5" bestFit="1" customWidth="1"/>
    <col min="8" max="8" width="16.5" bestFit="1" customWidth="1"/>
    <col min="10" max="10" width="19.5" bestFit="1" customWidth="1"/>
    <col min="13" max="13" width="12.1640625" bestFit="1" customWidth="1"/>
    <col min="15" max="15" width="10.83203125" customWidth="1"/>
    <col min="16" max="16" width="21.33203125" bestFit="1" customWidth="1"/>
    <col min="18" max="18" width="16.5" bestFit="1" customWidth="1"/>
    <col min="20" max="20" width="16.5" bestFit="1" customWidth="1"/>
    <col min="22" max="22" width="16.5" bestFit="1" customWidth="1"/>
    <col min="24" max="24" width="19.5" bestFit="1" customWidth="1"/>
    <col min="30" max="30" width="20.33203125" bestFit="1" customWidth="1"/>
    <col min="41" max="41" width="14.6640625" bestFit="1" customWidth="1"/>
    <col min="45" max="45" width="12.1640625" bestFit="1" customWidth="1"/>
    <col min="50" max="53" width="10.83203125" customWidth="1"/>
    <col min="82" max="82" width="10.83203125" customWidth="1"/>
    <col min="110" max="110" width="18.1640625" bestFit="1" customWidth="1"/>
    <col min="117" max="117" width="10.83203125" customWidth="1"/>
    <col min="118" max="118" width="16.83203125" bestFit="1" customWidth="1"/>
    <col min="121" max="121" width="10.83203125" customWidth="1"/>
    <col min="122" max="122" width="19.5" bestFit="1" customWidth="1"/>
    <col min="128" max="128" width="19.6640625" bestFit="1" customWidth="1"/>
    <col min="134" max="134" width="12.33203125" bestFit="1" customWidth="1"/>
  </cols>
  <sheetData>
    <row r="1" spans="2:139" x14ac:dyDescent="0.2">
      <c r="B1" t="s">
        <v>18</v>
      </c>
      <c r="D1" t="s">
        <v>31</v>
      </c>
      <c r="AZ1" t="s">
        <v>100</v>
      </c>
      <c r="BN1" s="57">
        <v>46186</v>
      </c>
      <c r="BO1" t="s">
        <v>84</v>
      </c>
    </row>
    <row r="2" spans="2:139" ht="17" thickBot="1" x14ac:dyDescent="0.25">
      <c r="B2" t="s">
        <v>19</v>
      </c>
      <c r="P2">
        <f>18*2/10</f>
        <v>3.6</v>
      </c>
      <c r="Q2" t="s">
        <v>36</v>
      </c>
      <c r="AD2" t="s">
        <v>57</v>
      </c>
      <c r="AG2" t="s">
        <v>58</v>
      </c>
      <c r="AO2">
        <f>AL3*20*18*(10^4)</f>
        <v>684900000</v>
      </c>
      <c r="AP2" t="s">
        <v>61</v>
      </c>
      <c r="AX2" s="57">
        <v>46184</v>
      </c>
      <c r="AZ2" t="s">
        <v>101</v>
      </c>
      <c r="BM2">
        <f>4*24/2700</f>
        <v>3.5555555555555556E-2</v>
      </c>
      <c r="BN2" t="s">
        <v>85</v>
      </c>
      <c r="CV2" s="57">
        <v>46191</v>
      </c>
      <c r="CW2" s="12" t="s">
        <v>120</v>
      </c>
      <c r="CX2" s="12"/>
      <c r="DR2" s="133"/>
      <c r="DS2" s="133"/>
      <c r="DT2" s="133"/>
      <c r="DU2" s="133"/>
      <c r="DV2" s="133"/>
      <c r="DW2" s="133"/>
      <c r="DX2" s="133"/>
      <c r="DY2" s="133"/>
      <c r="DZ2" s="133"/>
      <c r="EA2" s="133"/>
      <c r="EB2" s="133"/>
      <c r="EC2" s="133"/>
      <c r="ED2" s="133"/>
      <c r="EE2" s="133"/>
      <c r="EF2" s="133"/>
      <c r="EG2" s="133"/>
      <c r="EH2" s="133"/>
      <c r="EI2" s="133"/>
    </row>
    <row r="3" spans="2:139" ht="17" thickBot="1" x14ac:dyDescent="0.25">
      <c r="M3" s="8"/>
      <c r="AG3" t="s">
        <v>59</v>
      </c>
      <c r="AL3">
        <f>(6+10+7+5+9+5+7+7+7+8+8+6+5+6+5+13+6+13+10+7+6+9+11+5+9+4+6+8+5+9+7+8+6+6+6+5+8+9+8+6+9+7+5+11+4+7+16+7+9+5+10+6+7+5+5+8+6+2+7+4+5+12+10+3+5+7+12+12+2+8+7+8+7+8+6+4+11+11+4+10+10+11+13+7+9+6+8+7+7+10+4+7+8+6+10+12+8+7+7+6+8+7)/4</f>
        <v>190.25</v>
      </c>
      <c r="AM3" t="s">
        <v>60</v>
      </c>
      <c r="BM3" t="s">
        <v>104</v>
      </c>
      <c r="BP3" t="s">
        <v>105</v>
      </c>
      <c r="BS3" t="s">
        <v>86</v>
      </c>
      <c r="DF3" s="137" t="s">
        <v>126</v>
      </c>
      <c r="DG3" s="138"/>
      <c r="DH3" s="138"/>
      <c r="DI3" s="138"/>
      <c r="DJ3" s="138"/>
      <c r="DK3" s="138"/>
      <c r="DL3" s="138"/>
      <c r="DM3" s="138"/>
      <c r="DN3" s="139"/>
      <c r="DP3" s="93"/>
      <c r="DQ3" s="99" t="s">
        <v>129</v>
      </c>
      <c r="DR3" s="100" t="s">
        <v>124</v>
      </c>
      <c r="DS3" s="100" t="s">
        <v>130</v>
      </c>
      <c r="DT3" s="100" t="s">
        <v>68</v>
      </c>
      <c r="DU3" s="100" t="s">
        <v>131</v>
      </c>
      <c r="DV3" s="101" t="s">
        <v>44</v>
      </c>
      <c r="DW3" s="102" t="s">
        <v>132</v>
      </c>
      <c r="DX3" s="93"/>
      <c r="DY3" s="93"/>
      <c r="DZ3" s="93"/>
      <c r="EA3" s="93"/>
      <c r="EB3" s="74"/>
      <c r="EC3" s="74"/>
      <c r="ED3" s="93"/>
      <c r="EE3" s="93"/>
      <c r="EF3" s="93"/>
      <c r="EG3" s="93"/>
      <c r="EH3" s="74"/>
      <c r="EI3" s="74"/>
    </row>
    <row r="4" spans="2:139" ht="17" thickBot="1" x14ac:dyDescent="0.25">
      <c r="B4" s="124" t="s">
        <v>56</v>
      </c>
      <c r="C4" s="125"/>
      <c r="D4" s="125"/>
      <c r="E4" s="125"/>
      <c r="F4" s="125"/>
      <c r="G4" s="125"/>
      <c r="H4" s="125"/>
      <c r="I4" s="125"/>
      <c r="J4" s="125"/>
      <c r="K4" s="125"/>
      <c r="L4" s="125"/>
      <c r="M4" s="126"/>
      <c r="N4" s="29"/>
      <c r="O4" s="128" t="s">
        <v>42</v>
      </c>
      <c r="P4" s="129"/>
      <c r="Q4" s="129"/>
      <c r="R4" s="129"/>
      <c r="S4" s="129"/>
      <c r="T4" s="129"/>
      <c r="U4" s="129"/>
      <c r="V4" s="129"/>
      <c r="W4" s="129"/>
      <c r="X4" s="129"/>
      <c r="Y4" s="129"/>
      <c r="Z4" s="129"/>
      <c r="AA4" s="130"/>
      <c r="AD4" s="114" t="s">
        <v>52</v>
      </c>
      <c r="AE4" s="107"/>
      <c r="AF4" s="107"/>
      <c r="AG4" s="107"/>
      <c r="AH4" s="107"/>
      <c r="AI4" s="107"/>
      <c r="AJ4" s="107"/>
      <c r="AK4" s="107"/>
      <c r="AL4" s="107"/>
      <c r="AM4" s="107"/>
      <c r="AN4" s="107"/>
      <c r="AO4" s="107"/>
      <c r="AP4" s="107"/>
      <c r="AQ4" s="107"/>
      <c r="AR4" s="107"/>
      <c r="AS4" s="107"/>
      <c r="AT4" s="108"/>
      <c r="AX4" t="s">
        <v>72</v>
      </c>
      <c r="AZ4" t="s">
        <v>73</v>
      </c>
      <c r="BB4" t="s">
        <v>74</v>
      </c>
      <c r="BD4" t="s">
        <v>75</v>
      </c>
      <c r="BJ4">
        <v>43</v>
      </c>
      <c r="BK4" cm="1">
        <f t="array" ref="BK4:BK9">_xlfn.SORTBY(BJ4:BJ9,ROW(BJ4:BJ9),-1)</f>
        <v>0</v>
      </c>
      <c r="BM4">
        <f>2700*0.036/20.964</f>
        <v>4.6365197481396674</v>
      </c>
      <c r="CJ4" t="s">
        <v>111</v>
      </c>
      <c r="CW4">
        <v>1</v>
      </c>
      <c r="CY4">
        <v>2</v>
      </c>
      <c r="DA4">
        <v>3</v>
      </c>
      <c r="DF4" s="78" t="s">
        <v>124</v>
      </c>
      <c r="DG4" s="134" t="s">
        <v>121</v>
      </c>
      <c r="DH4" s="135"/>
      <c r="DI4" s="135"/>
      <c r="DJ4" s="135"/>
      <c r="DK4" s="135"/>
      <c r="DL4" s="136"/>
      <c r="DM4" s="90" t="s">
        <v>123</v>
      </c>
      <c r="DN4" s="91" t="s">
        <v>122</v>
      </c>
      <c r="DQ4" s="94" t="s">
        <v>126</v>
      </c>
      <c r="DR4">
        <v>0</v>
      </c>
      <c r="DS4">
        <v>1</v>
      </c>
      <c r="DT4">
        <v>20</v>
      </c>
      <c r="DU4">
        <v>7</v>
      </c>
      <c r="DV4">
        <f>DT4-DU4</f>
        <v>13</v>
      </c>
      <c r="DW4" s="95">
        <f>DU4/DT4*100</f>
        <v>35</v>
      </c>
    </row>
    <row r="5" spans="2:139" ht="17" thickBot="1" x14ac:dyDescent="0.25">
      <c r="B5" s="6" t="s">
        <v>0</v>
      </c>
      <c r="C5" s="118" t="s">
        <v>21</v>
      </c>
      <c r="D5" s="120"/>
      <c r="E5" s="118" t="s">
        <v>22</v>
      </c>
      <c r="F5" s="119"/>
      <c r="G5" s="118" t="s">
        <v>23</v>
      </c>
      <c r="H5" s="120"/>
      <c r="I5" s="121" t="s">
        <v>15</v>
      </c>
      <c r="J5" s="122"/>
      <c r="K5" s="122"/>
      <c r="L5" s="122"/>
      <c r="M5" s="123"/>
      <c r="O5" s="6"/>
      <c r="P5" s="6" t="s">
        <v>0</v>
      </c>
      <c r="Q5" s="109" t="s">
        <v>10</v>
      </c>
      <c r="R5" s="127"/>
      <c r="S5" s="118" t="s">
        <v>11</v>
      </c>
      <c r="T5" s="119"/>
      <c r="U5" s="118" t="s">
        <v>12</v>
      </c>
      <c r="V5" s="120"/>
      <c r="W5" s="118" t="s">
        <v>15</v>
      </c>
      <c r="X5" s="112"/>
      <c r="Y5" s="112"/>
      <c r="Z5" s="112"/>
      <c r="AA5" s="120"/>
      <c r="AD5" s="42" t="s">
        <v>43</v>
      </c>
      <c r="AE5" s="109" t="s">
        <v>10</v>
      </c>
      <c r="AF5" s="110"/>
      <c r="AG5" s="111"/>
      <c r="AH5" s="109" t="s">
        <v>11</v>
      </c>
      <c r="AI5" s="110"/>
      <c r="AJ5" s="111"/>
      <c r="AK5" s="109" t="s">
        <v>12</v>
      </c>
      <c r="AL5" s="110"/>
      <c r="AM5" s="111"/>
      <c r="AN5" s="112" t="s">
        <v>15</v>
      </c>
      <c r="AO5" s="112"/>
      <c r="AP5" s="112"/>
      <c r="AQ5" s="112"/>
      <c r="AR5" s="112"/>
      <c r="AS5" s="112"/>
      <c r="AT5" s="113"/>
      <c r="AX5" s="106" t="s">
        <v>63</v>
      </c>
      <c r="AY5" s="107"/>
      <c r="AZ5" s="107"/>
      <c r="BA5" s="107"/>
      <c r="BB5" s="107"/>
      <c r="BC5" s="107"/>
      <c r="BD5" s="107"/>
      <c r="BE5" s="108"/>
      <c r="BJ5" s="30">
        <f>8*BJ4/24</f>
        <v>14.333333333333334</v>
      </c>
      <c r="BK5">
        <v>0.53086419753086422</v>
      </c>
      <c r="BO5" s="106" t="s">
        <v>63</v>
      </c>
      <c r="BP5" s="107"/>
      <c r="BQ5" s="107"/>
      <c r="BR5" s="107"/>
      <c r="BS5" s="107"/>
      <c r="BT5" s="107"/>
      <c r="BU5" s="107"/>
      <c r="BV5" s="107"/>
      <c r="BW5" s="107"/>
      <c r="BX5" s="107"/>
      <c r="BY5" s="107"/>
      <c r="BZ5" s="108"/>
      <c r="CB5">
        <v>0</v>
      </c>
      <c r="CC5">
        <v>6.666666666666667</v>
      </c>
      <c r="CD5">
        <v>22.857142857142858</v>
      </c>
      <c r="CE5">
        <v>20</v>
      </c>
      <c r="CF5">
        <v>10</v>
      </c>
      <c r="CJ5" t="s">
        <v>110</v>
      </c>
      <c r="CK5">
        <f>28.75*20*(10^4)</f>
        <v>5750000</v>
      </c>
      <c r="CS5" t="s">
        <v>118</v>
      </c>
      <c r="CW5" s="104" t="s">
        <v>117</v>
      </c>
      <c r="CX5" s="105"/>
      <c r="CY5" s="104" t="s">
        <v>117</v>
      </c>
      <c r="CZ5" s="105"/>
      <c r="DA5" s="104" t="s">
        <v>117</v>
      </c>
      <c r="DB5" s="105"/>
      <c r="DF5" s="79">
        <v>0</v>
      </c>
      <c r="DG5" s="81">
        <v>35</v>
      </c>
      <c r="DH5">
        <v>24.242424242424242</v>
      </c>
      <c r="DI5">
        <v>15.625</v>
      </c>
      <c r="DJ5">
        <v>6.666666666666667</v>
      </c>
      <c r="DK5">
        <v>22.857142857142858</v>
      </c>
      <c r="DL5" s="82">
        <v>20</v>
      </c>
      <c r="DM5" s="81">
        <f t="shared" ref="DM5:DM14" si="0">AVERAGE(DG5:DL5)</f>
        <v>20.731872294372298</v>
      </c>
      <c r="DN5" s="82">
        <f>STDEV(DG5:DL5)</f>
        <v>9.432560725539906</v>
      </c>
      <c r="DQ5" s="94" t="s">
        <v>126</v>
      </c>
      <c r="DR5">
        <v>0</v>
      </c>
      <c r="DS5">
        <v>2</v>
      </c>
      <c r="DT5">
        <v>33</v>
      </c>
      <c r="DU5">
        <v>8</v>
      </c>
      <c r="DV5">
        <f t="shared" ref="DV5:DV36" si="1">DT5-DU5</f>
        <v>25</v>
      </c>
      <c r="DW5" s="95">
        <f t="shared" ref="DW5:DW36" si="2">DU5/DT5*100</f>
        <v>24.242424242424242</v>
      </c>
      <c r="DY5" t="s">
        <v>134</v>
      </c>
    </row>
    <row r="6" spans="2:139" ht="17" thickBot="1" x14ac:dyDescent="0.25">
      <c r="B6" s="1"/>
      <c r="C6" s="1" t="s">
        <v>13</v>
      </c>
      <c r="D6" s="2" t="s">
        <v>14</v>
      </c>
      <c r="E6" s="1" t="s">
        <v>13</v>
      </c>
      <c r="F6" s="2" t="s">
        <v>14</v>
      </c>
      <c r="G6" s="1" t="s">
        <v>13</v>
      </c>
      <c r="H6" s="2" t="s">
        <v>14</v>
      </c>
      <c r="I6" s="1" t="s">
        <v>4</v>
      </c>
      <c r="J6" t="s">
        <v>9</v>
      </c>
      <c r="K6" t="s">
        <v>5</v>
      </c>
      <c r="L6" t="s">
        <v>16</v>
      </c>
      <c r="M6" s="2" t="s">
        <v>17</v>
      </c>
      <c r="O6" s="29"/>
      <c r="P6" s="30"/>
      <c r="Q6" t="s">
        <v>1</v>
      </c>
      <c r="R6" s="2" t="s">
        <v>7</v>
      </c>
      <c r="S6" s="1" t="s">
        <v>2</v>
      </c>
      <c r="T6" s="2" t="s">
        <v>8</v>
      </c>
      <c r="U6" s="1" t="s">
        <v>3</v>
      </c>
      <c r="V6" s="2" t="s">
        <v>6</v>
      </c>
      <c r="W6" s="1" t="s">
        <v>4</v>
      </c>
      <c r="X6" t="s">
        <v>9</v>
      </c>
      <c r="Y6" t="s">
        <v>5</v>
      </c>
      <c r="Z6" t="s">
        <v>16</v>
      </c>
      <c r="AA6" s="2" t="s">
        <v>17</v>
      </c>
      <c r="AD6" s="30"/>
      <c r="AE6" s="40" t="s">
        <v>44</v>
      </c>
      <c r="AF6" s="36" t="s">
        <v>45</v>
      </c>
      <c r="AG6" s="37" t="s">
        <v>25</v>
      </c>
      <c r="AH6" s="40" t="s">
        <v>44</v>
      </c>
      <c r="AI6" s="36" t="s">
        <v>45</v>
      </c>
      <c r="AJ6" s="37" t="s">
        <v>25</v>
      </c>
      <c r="AK6" s="40" t="s">
        <v>44</v>
      </c>
      <c r="AL6" s="36" t="s">
        <v>45</v>
      </c>
      <c r="AM6" s="37" t="s">
        <v>25</v>
      </c>
      <c r="AN6" s="36" t="s">
        <v>4</v>
      </c>
      <c r="AO6" s="36" t="s">
        <v>46</v>
      </c>
      <c r="AP6" s="36" t="s">
        <v>47</v>
      </c>
      <c r="AQ6" s="36" t="s">
        <v>51</v>
      </c>
      <c r="AR6" s="36" t="s">
        <v>48</v>
      </c>
      <c r="AS6" s="36" t="s">
        <v>49</v>
      </c>
      <c r="AT6" s="37" t="s">
        <v>50</v>
      </c>
      <c r="AW6" s="35"/>
      <c r="AX6" s="104" t="s">
        <v>64</v>
      </c>
      <c r="AY6" s="105"/>
      <c r="AZ6" s="104" t="s">
        <v>70</v>
      </c>
      <c r="BA6" s="105"/>
      <c r="BB6" s="104" t="s">
        <v>71</v>
      </c>
      <c r="BC6" s="105"/>
      <c r="BD6" s="104" t="s">
        <v>69</v>
      </c>
      <c r="BE6" s="105"/>
      <c r="BJ6" s="30">
        <f>6*BJ5/18</f>
        <v>4.7777777777777777</v>
      </c>
      <c r="BK6">
        <v>1.5925925925925926</v>
      </c>
      <c r="BN6" s="34"/>
      <c r="BO6" s="131" t="s">
        <v>81</v>
      </c>
      <c r="BP6" s="132"/>
      <c r="BQ6" s="131" t="s">
        <v>81</v>
      </c>
      <c r="BR6" s="132"/>
      <c r="BS6" s="131" t="s">
        <v>81</v>
      </c>
      <c r="BT6" s="132"/>
      <c r="BU6" s="131" t="s">
        <v>82</v>
      </c>
      <c r="BV6" s="132"/>
      <c r="BW6" s="131" t="s">
        <v>82</v>
      </c>
      <c r="BX6" s="133"/>
      <c r="BY6" s="131" t="s">
        <v>82</v>
      </c>
      <c r="BZ6" s="132"/>
      <c r="CB6">
        <v>5.7240984544934169E-2</v>
      </c>
      <c r="CC6">
        <v>24</v>
      </c>
      <c r="CD6">
        <v>19.047619047619047</v>
      </c>
      <c r="CE6">
        <v>24.390243902439025</v>
      </c>
      <c r="CJ6" t="s">
        <v>112</v>
      </c>
      <c r="CK6">
        <f>10.5*20*(10^4)</f>
        <v>2100000</v>
      </c>
      <c r="CV6" s="43" t="s">
        <v>26</v>
      </c>
      <c r="CW6" s="22" t="s">
        <v>20</v>
      </c>
      <c r="CX6" s="27" t="s">
        <v>25</v>
      </c>
      <c r="CY6" s="22" t="s">
        <v>20</v>
      </c>
      <c r="CZ6" s="27" t="s">
        <v>25</v>
      </c>
      <c r="DA6" s="22" t="s">
        <v>20</v>
      </c>
      <c r="DB6" s="27" t="s">
        <v>25</v>
      </c>
      <c r="DF6" s="79">
        <v>0.53</v>
      </c>
      <c r="DG6" s="83"/>
      <c r="DH6" s="76"/>
      <c r="DI6" s="76"/>
      <c r="DJ6">
        <v>24</v>
      </c>
      <c r="DK6">
        <v>19.047619047619047</v>
      </c>
      <c r="DL6" s="82">
        <v>24.390243902439025</v>
      </c>
      <c r="DM6" s="81">
        <f t="shared" si="0"/>
        <v>22.479287650019359</v>
      </c>
      <c r="DN6" s="82">
        <f t="shared" ref="DN6:DN14" si="3">STDEV(DG6:DL6)</f>
        <v>2.9783106996034898</v>
      </c>
      <c r="DQ6" s="94" t="s">
        <v>126</v>
      </c>
      <c r="DR6">
        <v>0</v>
      </c>
      <c r="DS6">
        <v>3</v>
      </c>
      <c r="DT6">
        <v>32</v>
      </c>
      <c r="DU6">
        <v>5</v>
      </c>
      <c r="DV6">
        <f t="shared" si="1"/>
        <v>27</v>
      </c>
      <c r="DW6" s="95">
        <f t="shared" si="2"/>
        <v>15.625</v>
      </c>
      <c r="DY6" s="56" t="s">
        <v>61</v>
      </c>
      <c r="DZ6" s="56"/>
    </row>
    <row r="7" spans="2:139" x14ac:dyDescent="0.2">
      <c r="B7" s="1">
        <v>1</v>
      </c>
      <c r="C7" s="1">
        <v>3</v>
      </c>
      <c r="D7" s="2">
        <v>4</v>
      </c>
      <c r="E7" s="1">
        <v>4</v>
      </c>
      <c r="F7" s="2">
        <v>15</v>
      </c>
      <c r="G7" s="1">
        <v>0</v>
      </c>
      <c r="H7" s="2">
        <v>3</v>
      </c>
      <c r="I7" s="1">
        <f>C7+E7+G7</f>
        <v>7</v>
      </c>
      <c r="J7">
        <f>D7+F7+H7</f>
        <v>22</v>
      </c>
      <c r="K7">
        <f>C7+D7+E7+F7+G7+H7</f>
        <v>29</v>
      </c>
      <c r="L7">
        <f>I7/K7*100</f>
        <v>24.137931034482758</v>
      </c>
      <c r="M7" s="2">
        <f>J7/K7*100</f>
        <v>75.862068965517238</v>
      </c>
      <c r="O7" s="29">
        <v>2</v>
      </c>
      <c r="P7" s="30">
        <f t="shared" ref="P7:P14" si="4">IF(P16=0,0,ROUND(P16,2-1-INT(LOG10(ABS(P16)))))</f>
        <v>0</v>
      </c>
      <c r="Q7">
        <f>22-9</f>
        <v>13</v>
      </c>
      <c r="R7" s="2">
        <v>9</v>
      </c>
      <c r="S7" s="1">
        <f>25-9</f>
        <v>16</v>
      </c>
      <c r="T7" s="2">
        <v>9</v>
      </c>
      <c r="U7" s="1">
        <f>34-15</f>
        <v>19</v>
      </c>
      <c r="V7" s="2">
        <v>15</v>
      </c>
      <c r="W7" s="1">
        <f>Q7+S7+U7</f>
        <v>48</v>
      </c>
      <c r="X7">
        <f>R7+T7+V7</f>
        <v>33</v>
      </c>
      <c r="Y7">
        <f>Q7+R7+S7+T7+U7+V7</f>
        <v>81</v>
      </c>
      <c r="Z7">
        <f>W7/Y7*100</f>
        <v>59.259259259259252</v>
      </c>
      <c r="AA7" s="2">
        <f>X7/Y7*100</f>
        <v>40.74074074074074</v>
      </c>
      <c r="AD7" s="30">
        <f t="shared" ref="AD7:AD11" si="5">AE14</f>
        <v>0</v>
      </c>
      <c r="AE7" s="22">
        <f>40-8</f>
        <v>32</v>
      </c>
      <c r="AF7">
        <v>7</v>
      </c>
      <c r="AG7" s="27">
        <v>1</v>
      </c>
      <c r="AH7" s="22">
        <f>27-6</f>
        <v>21</v>
      </c>
      <c r="AI7">
        <v>6</v>
      </c>
      <c r="AJ7" s="27">
        <v>0</v>
      </c>
      <c r="AK7" s="22">
        <f>31-4</f>
        <v>27</v>
      </c>
      <c r="AL7">
        <v>4</v>
      </c>
      <c r="AM7" s="27">
        <v>0</v>
      </c>
      <c r="AN7">
        <f>AE7+AH7+AK7</f>
        <v>80</v>
      </c>
      <c r="AO7">
        <f>AF7+AI7+AL7</f>
        <v>17</v>
      </c>
      <c r="AP7">
        <f>AG7+AJ7+AM7</f>
        <v>1</v>
      </c>
      <c r="AQ7">
        <f>AN7+AO7+AP7</f>
        <v>98</v>
      </c>
      <c r="AR7">
        <f>AN7/AQ7*100</f>
        <v>81.632653061224488</v>
      </c>
      <c r="AS7">
        <f>AO7/AQ7*100</f>
        <v>17.346938775510203</v>
      </c>
      <c r="AT7" s="27">
        <f>AP7/AQ7*100</f>
        <v>1.0204081632653061</v>
      </c>
      <c r="AW7" s="43" t="s">
        <v>26</v>
      </c>
      <c r="AX7" s="22" t="s">
        <v>66</v>
      </c>
      <c r="AY7" s="27" t="s">
        <v>67</v>
      </c>
      <c r="AZ7" s="22" t="s">
        <v>66</v>
      </c>
      <c r="BA7" s="27" t="s">
        <v>67</v>
      </c>
      <c r="BB7" s="22" t="s">
        <v>66</v>
      </c>
      <c r="BC7" s="27" t="s">
        <v>67</v>
      </c>
      <c r="BD7" s="22" t="s">
        <v>66</v>
      </c>
      <c r="BE7" s="27" t="s">
        <v>67</v>
      </c>
      <c r="BJ7" s="30">
        <f t="shared" ref="BJ7:BJ8" si="6">6*BJ6/18</f>
        <v>1.5925925925925926</v>
      </c>
      <c r="BK7">
        <v>4.7777777777777777</v>
      </c>
      <c r="BN7" s="45" t="s">
        <v>26</v>
      </c>
      <c r="BO7" s="22" t="s">
        <v>20</v>
      </c>
      <c r="BP7" s="27" t="s">
        <v>25</v>
      </c>
      <c r="BQ7" s="22" t="s">
        <v>20</v>
      </c>
      <c r="BR7" s="27" t="s">
        <v>25</v>
      </c>
      <c r="BS7" s="22" t="s">
        <v>20</v>
      </c>
      <c r="BT7" s="27" t="s">
        <v>25</v>
      </c>
      <c r="BU7" s="22" t="s">
        <v>20</v>
      </c>
      <c r="BV7" s="27" t="s">
        <v>25</v>
      </c>
      <c r="BW7" s="22" t="s">
        <v>20</v>
      </c>
      <c r="BX7" s="27" t="s">
        <v>25</v>
      </c>
      <c r="BY7" s="22" t="s">
        <v>20</v>
      </c>
      <c r="BZ7" s="27" t="s">
        <v>25</v>
      </c>
      <c r="CB7">
        <v>0.1717229536348025</v>
      </c>
      <c r="CC7">
        <v>29.629629629629626</v>
      </c>
      <c r="CD7">
        <v>29.166666666666668</v>
      </c>
      <c r="CE7">
        <v>31.578947368421051</v>
      </c>
      <c r="CU7" s="55" t="s">
        <v>97</v>
      </c>
      <c r="CV7" s="30">
        <f>CT9</f>
        <v>0</v>
      </c>
      <c r="CW7" s="22">
        <v>20</v>
      </c>
      <c r="CX7" s="27">
        <v>7</v>
      </c>
      <c r="CY7" s="22">
        <v>33</v>
      </c>
      <c r="CZ7" s="27">
        <v>8</v>
      </c>
      <c r="DA7" s="22">
        <v>32</v>
      </c>
      <c r="DB7" s="27">
        <v>5</v>
      </c>
      <c r="DF7" s="79">
        <v>1.6</v>
      </c>
      <c r="DG7" s="83"/>
      <c r="DH7" s="76"/>
      <c r="DI7" s="76"/>
      <c r="DJ7">
        <v>29.629629629629626</v>
      </c>
      <c r="DK7">
        <v>29.166666666666668</v>
      </c>
      <c r="DL7" s="82">
        <v>31.578947368421051</v>
      </c>
      <c r="DM7" s="81">
        <f t="shared" si="0"/>
        <v>30.125081221572447</v>
      </c>
      <c r="DN7" s="82">
        <f t="shared" si="3"/>
        <v>1.2801870003960996</v>
      </c>
      <c r="DQ7" s="94" t="s">
        <v>126</v>
      </c>
      <c r="DR7">
        <v>0</v>
      </c>
      <c r="DS7">
        <v>4</v>
      </c>
      <c r="DT7">
        <v>30</v>
      </c>
      <c r="DU7">
        <v>2</v>
      </c>
      <c r="DV7">
        <f t="shared" si="1"/>
        <v>28</v>
      </c>
      <c r="DW7" s="95">
        <f t="shared" si="2"/>
        <v>6.666666666666667</v>
      </c>
      <c r="DY7" s="56">
        <v>2</v>
      </c>
      <c r="DZ7">
        <f>6.5*20*10^4</f>
        <v>1300000</v>
      </c>
      <c r="EA7" s="103">
        <v>1120000</v>
      </c>
      <c r="EC7">
        <f>DZ8/DZ7*100</f>
        <v>30.76923076923077</v>
      </c>
      <c r="ED7" t="s">
        <v>136</v>
      </c>
    </row>
    <row r="8" spans="2:139" x14ac:dyDescent="0.2">
      <c r="B8" s="1">
        <f>5.5*B7/18</f>
        <v>0.30555555555555558</v>
      </c>
      <c r="C8" s="1">
        <v>1</v>
      </c>
      <c r="D8" s="2">
        <v>2</v>
      </c>
      <c r="E8" s="1">
        <v>3</v>
      </c>
      <c r="F8" s="2">
        <v>5</v>
      </c>
      <c r="G8" s="1">
        <v>0</v>
      </c>
      <c r="H8" s="2">
        <v>6</v>
      </c>
      <c r="I8" s="1">
        <f t="shared" ref="I8:I15" si="7">C8+E8+G8</f>
        <v>4</v>
      </c>
      <c r="J8">
        <f t="shared" ref="J8:J15" si="8">D8+F8+H8</f>
        <v>13</v>
      </c>
      <c r="K8">
        <f t="shared" ref="K8:K15" si="9">C8+D8+E8+F8+G8+H8</f>
        <v>17</v>
      </c>
      <c r="L8">
        <f t="shared" ref="L8:L15" si="10">I8/K8*100</f>
        <v>23.52941176470588</v>
      </c>
      <c r="M8" s="2">
        <f t="shared" ref="M8:M15" si="11">J8/K8*100</f>
        <v>76.470588235294116</v>
      </c>
      <c r="O8" s="29">
        <f>6*O7/18</f>
        <v>0.66666666666666663</v>
      </c>
      <c r="P8" s="30">
        <f t="shared" si="4"/>
        <v>2.7000000000000001E-3</v>
      </c>
      <c r="Q8">
        <f>60-21</f>
        <v>39</v>
      </c>
      <c r="R8" s="2">
        <v>21</v>
      </c>
      <c r="S8" s="1">
        <f>48-19</f>
        <v>29</v>
      </c>
      <c r="T8" s="2">
        <v>19</v>
      </c>
      <c r="U8" s="1">
        <f>23-11</f>
        <v>12</v>
      </c>
      <c r="V8" s="2">
        <v>11</v>
      </c>
      <c r="W8" s="1">
        <f t="shared" ref="W8" si="12">Q8+S8+U8</f>
        <v>80</v>
      </c>
      <c r="X8">
        <f t="shared" ref="X8:X14" si="13">R8+T8+V8</f>
        <v>51</v>
      </c>
      <c r="Y8">
        <f t="shared" ref="Y8:Y14" si="14">Q8+R8+S8+T8+U8+V8</f>
        <v>131</v>
      </c>
      <c r="Z8">
        <f t="shared" ref="Z8:Z14" si="15">W8/Y8*100</f>
        <v>61.068702290076338</v>
      </c>
      <c r="AA8" s="2">
        <f t="shared" ref="AA8:AA14" si="16">X8/Y8*100</f>
        <v>38.931297709923662</v>
      </c>
      <c r="AD8" s="30">
        <f t="shared" si="5"/>
        <v>5.005645751953125E-2</v>
      </c>
      <c r="AE8" s="22">
        <f>35-10</f>
        <v>25</v>
      </c>
      <c r="AF8">
        <v>9</v>
      </c>
      <c r="AG8" s="27">
        <v>1</v>
      </c>
      <c r="AH8" s="22">
        <f>17-4</f>
        <v>13</v>
      </c>
      <c r="AI8">
        <v>4</v>
      </c>
      <c r="AJ8" s="27">
        <v>1</v>
      </c>
      <c r="AK8" s="22">
        <f>61-11</f>
        <v>50</v>
      </c>
      <c r="AL8">
        <v>10</v>
      </c>
      <c r="AM8" s="27">
        <v>1</v>
      </c>
      <c r="AN8">
        <f t="shared" ref="AN8:AN12" si="17">AE8+AH8+AK8</f>
        <v>88</v>
      </c>
      <c r="AO8">
        <f t="shared" ref="AO8:AO12" si="18">AF8+AI8+AL8</f>
        <v>23</v>
      </c>
      <c r="AP8">
        <f t="shared" ref="AP8:AP12" si="19">AG8+AJ8+AM8</f>
        <v>3</v>
      </c>
      <c r="AQ8">
        <f t="shared" ref="AQ8:AQ12" si="20">AN8+AO8+AP8</f>
        <v>114</v>
      </c>
      <c r="AR8">
        <f t="shared" ref="AR8:AR12" si="21">AN8/AQ8*100</f>
        <v>77.192982456140342</v>
      </c>
      <c r="AS8">
        <f t="shared" ref="AS8:AS12" si="22">AO8/AQ8*100</f>
        <v>20.175438596491226</v>
      </c>
      <c r="AT8" s="27">
        <f t="shared" ref="AT8:AT12" si="23">AP8/AQ8*100</f>
        <v>2.6315789473684208</v>
      </c>
      <c r="AW8" s="30">
        <f>(60*27)/17</f>
        <v>95.294117647058826</v>
      </c>
      <c r="AX8" s="22">
        <v>17</v>
      </c>
      <c r="AY8" s="27">
        <f>AX14-AX8</f>
        <v>8</v>
      </c>
      <c r="AZ8" s="22">
        <v>28</v>
      </c>
      <c r="BA8" s="27">
        <f>AZ14-AZ8</f>
        <v>0</v>
      </c>
      <c r="BB8" s="22">
        <v>8</v>
      </c>
      <c r="BC8" s="27">
        <f>BB14-BB8</f>
        <v>3</v>
      </c>
      <c r="BD8" s="22">
        <v>12</v>
      </c>
      <c r="BE8" s="27">
        <f>BD14-BD8</f>
        <v>14</v>
      </c>
      <c r="BJ8" s="30">
        <f t="shared" si="6"/>
        <v>0.53086419753086422</v>
      </c>
      <c r="BK8">
        <v>14.333333333333334</v>
      </c>
      <c r="BM8">
        <f>0</f>
        <v>0</v>
      </c>
      <c r="BN8" s="22">
        <f>BK4</f>
        <v>0</v>
      </c>
      <c r="BO8" s="22">
        <v>18</v>
      </c>
      <c r="BP8" s="27">
        <v>11</v>
      </c>
      <c r="BQ8" s="22">
        <v>5</v>
      </c>
      <c r="BR8" s="27">
        <v>3</v>
      </c>
      <c r="BS8" s="22">
        <v>11</v>
      </c>
      <c r="BT8" s="27">
        <v>8</v>
      </c>
      <c r="BU8" s="22">
        <v>30</v>
      </c>
      <c r="BV8" s="27">
        <v>2</v>
      </c>
      <c r="BW8" s="22">
        <v>35</v>
      </c>
      <c r="BX8" s="27">
        <v>8</v>
      </c>
      <c r="BY8" s="22">
        <v>35</v>
      </c>
      <c r="BZ8" s="27">
        <v>7</v>
      </c>
      <c r="CB8">
        <v>0.5151688609044075</v>
      </c>
      <c r="CC8">
        <v>42.857142857142854</v>
      </c>
      <c r="CD8">
        <v>26.315789473684209</v>
      </c>
      <c r="CE8">
        <v>28.35820895522388</v>
      </c>
      <c r="CF8">
        <v>42.105263157894733</v>
      </c>
      <c r="CU8">
        <v>4</v>
      </c>
      <c r="CV8" s="30">
        <f t="shared" ref="CV8:CV11" si="24">CT10</f>
        <v>4.4444444444444446</v>
      </c>
      <c r="CW8" s="22">
        <v>24</v>
      </c>
      <c r="CX8" s="27">
        <v>6</v>
      </c>
      <c r="CY8" s="22">
        <v>62</v>
      </c>
      <c r="CZ8" s="27">
        <v>26</v>
      </c>
      <c r="DA8" s="22">
        <v>28</v>
      </c>
      <c r="DB8" s="27">
        <v>8</v>
      </c>
      <c r="DF8" s="79">
        <v>4.4000000000000004</v>
      </c>
      <c r="DG8" s="81">
        <v>25</v>
      </c>
      <c r="DH8">
        <v>41.935483870967744</v>
      </c>
      <c r="DI8">
        <v>28.571428571428569</v>
      </c>
      <c r="DJ8" s="77"/>
      <c r="DK8" s="77"/>
      <c r="DL8" s="84"/>
      <c r="DM8" s="81">
        <f t="shared" si="0"/>
        <v>31.83563748079877</v>
      </c>
      <c r="DN8" s="82">
        <f t="shared" si="3"/>
        <v>8.927146707597073</v>
      </c>
      <c r="DQ8" s="94" t="s">
        <v>126</v>
      </c>
      <c r="DR8">
        <v>0</v>
      </c>
      <c r="DS8">
        <v>5</v>
      </c>
      <c r="DT8">
        <v>35</v>
      </c>
      <c r="DU8">
        <v>8</v>
      </c>
      <c r="DV8">
        <f t="shared" si="1"/>
        <v>27</v>
      </c>
      <c r="DW8" s="95">
        <f t="shared" si="2"/>
        <v>22.857142857142858</v>
      </c>
      <c r="DY8" s="56">
        <v>3</v>
      </c>
      <c r="DZ8">
        <f>2*20*10^4</f>
        <v>400000</v>
      </c>
      <c r="EA8" s="103">
        <v>480000</v>
      </c>
    </row>
    <row r="9" spans="2:139" x14ac:dyDescent="0.2">
      <c r="B9" s="1">
        <f>6*B8/18</f>
        <v>0.10185185185185186</v>
      </c>
      <c r="C9" s="1">
        <v>0</v>
      </c>
      <c r="D9" s="2">
        <v>6</v>
      </c>
      <c r="E9" s="1">
        <v>1</v>
      </c>
      <c r="F9" s="2">
        <v>4</v>
      </c>
      <c r="G9" s="1">
        <v>2</v>
      </c>
      <c r="H9" s="2">
        <v>4</v>
      </c>
      <c r="I9" s="1">
        <f>C9+E9+G9</f>
        <v>3</v>
      </c>
      <c r="J9">
        <f t="shared" si="8"/>
        <v>14</v>
      </c>
      <c r="K9">
        <f t="shared" si="9"/>
        <v>17</v>
      </c>
      <c r="L9">
        <f t="shared" si="10"/>
        <v>17.647058823529413</v>
      </c>
      <c r="M9" s="2">
        <f t="shared" si="11"/>
        <v>82.35294117647058</v>
      </c>
      <c r="O9" s="29">
        <f>6*O8/18</f>
        <v>0.22222222222222221</v>
      </c>
      <c r="P9" s="30">
        <f>IF(P18=0,0,ROUND(P18,2-1-INT(LOG10(ABS(P18)))))</f>
        <v>8.2000000000000007E-3</v>
      </c>
      <c r="Q9">
        <f>22-12</f>
        <v>10</v>
      </c>
      <c r="R9" s="2">
        <v>12</v>
      </c>
      <c r="S9" s="1">
        <f>23-17</f>
        <v>6</v>
      </c>
      <c r="T9" s="2">
        <v>17</v>
      </c>
      <c r="U9" s="1">
        <f>18-11</f>
        <v>7</v>
      </c>
      <c r="V9" s="2">
        <v>11</v>
      </c>
      <c r="W9" s="1">
        <f>Q9+S9+U9</f>
        <v>23</v>
      </c>
      <c r="X9">
        <f t="shared" si="13"/>
        <v>40</v>
      </c>
      <c r="Y9">
        <f t="shared" si="14"/>
        <v>63</v>
      </c>
      <c r="Z9">
        <f t="shared" si="15"/>
        <v>36.507936507936506</v>
      </c>
      <c r="AA9" s="2">
        <f t="shared" si="16"/>
        <v>63.492063492063487</v>
      </c>
      <c r="AD9" s="30">
        <f t="shared" si="5"/>
        <v>0.13348388671875</v>
      </c>
      <c r="AE9" s="22">
        <f>40-8</f>
        <v>32</v>
      </c>
      <c r="AF9">
        <v>8</v>
      </c>
      <c r="AG9" s="27">
        <v>0</v>
      </c>
      <c r="AH9" s="22">
        <f>34-9</f>
        <v>25</v>
      </c>
      <c r="AI9">
        <v>7</v>
      </c>
      <c r="AJ9" s="27">
        <v>2</v>
      </c>
      <c r="AK9" s="22">
        <f>15-5</f>
        <v>10</v>
      </c>
      <c r="AL9">
        <v>5</v>
      </c>
      <c r="AM9" s="27">
        <v>0</v>
      </c>
      <c r="AN9">
        <f t="shared" si="17"/>
        <v>67</v>
      </c>
      <c r="AO9">
        <f t="shared" si="18"/>
        <v>20</v>
      </c>
      <c r="AP9">
        <f t="shared" si="19"/>
        <v>2</v>
      </c>
      <c r="AQ9">
        <f t="shared" si="20"/>
        <v>89</v>
      </c>
      <c r="AR9">
        <f t="shared" si="21"/>
        <v>75.280898876404493</v>
      </c>
      <c r="AS9">
        <f t="shared" si="22"/>
        <v>22.471910112359549</v>
      </c>
      <c r="AT9" s="27">
        <f t="shared" si="23"/>
        <v>2.2471910112359552</v>
      </c>
      <c r="AW9" s="30">
        <f>6*AW8/18</f>
        <v>31.764705882352942</v>
      </c>
      <c r="AX9" s="22">
        <v>23</v>
      </c>
      <c r="AY9" s="27">
        <f t="shared" ref="AY9:AY11" si="25">AX15-AX9</f>
        <v>13</v>
      </c>
      <c r="AZ9" s="22">
        <v>20</v>
      </c>
      <c r="BA9" s="27">
        <f t="shared" ref="BA9:BA11" si="26">AZ15-AZ9</f>
        <v>0</v>
      </c>
      <c r="BB9" s="22">
        <v>10</v>
      </c>
      <c r="BC9" s="27">
        <f t="shared" ref="BC9:BC11" si="27">BB15-BB9</f>
        <v>6</v>
      </c>
      <c r="BD9" s="22">
        <v>5</v>
      </c>
      <c r="BE9" s="27">
        <f t="shared" ref="BE9:BE11" si="28">BD15-BD9</f>
        <v>0</v>
      </c>
      <c r="BJ9">
        <v>0</v>
      </c>
      <c r="BK9">
        <v>43</v>
      </c>
      <c r="BM9">
        <v>5</v>
      </c>
      <c r="BN9" s="22">
        <f t="shared" ref="BN9:BN12" si="29">BK5</f>
        <v>0.53086419753086422</v>
      </c>
      <c r="BO9" s="22"/>
      <c r="BP9" s="27"/>
      <c r="BQ9" s="22"/>
      <c r="BR9" s="27"/>
      <c r="BS9" s="22"/>
      <c r="BT9" s="27"/>
      <c r="BU9" s="22">
        <v>25</v>
      </c>
      <c r="BV9" s="27">
        <v>6</v>
      </c>
      <c r="BW9" s="22">
        <v>21</v>
      </c>
      <c r="BX9">
        <v>4</v>
      </c>
      <c r="BY9" s="22">
        <v>41</v>
      </c>
      <c r="BZ9" s="27">
        <v>10</v>
      </c>
      <c r="CB9">
        <v>1.5455065827132224</v>
      </c>
      <c r="CC9">
        <v>46.153846153846153</v>
      </c>
      <c r="CD9">
        <v>34</v>
      </c>
      <c r="CE9">
        <v>36.734693877551024</v>
      </c>
      <c r="CF9">
        <v>62.5</v>
      </c>
      <c r="CS9" s="30">
        <v>120</v>
      </c>
      <c r="CT9" cm="1">
        <f t="array" ref="CT9:CT13">_xlfn.SORTBY(CS9:CS13,ROW(CS9:CS13),-1)</f>
        <v>0</v>
      </c>
      <c r="CU9">
        <v>3</v>
      </c>
      <c r="CV9" s="75">
        <f t="shared" si="24"/>
        <v>13.333333333333334</v>
      </c>
      <c r="CW9" s="22">
        <v>15</v>
      </c>
      <c r="CX9" s="27">
        <v>5</v>
      </c>
      <c r="CY9" s="22">
        <v>43</v>
      </c>
      <c r="CZ9" s="27">
        <v>16</v>
      </c>
      <c r="DA9" s="22">
        <v>64</v>
      </c>
      <c r="DB9" s="27">
        <v>20</v>
      </c>
      <c r="DF9" s="79">
        <v>4.7</v>
      </c>
      <c r="DG9" s="83"/>
      <c r="DH9" s="76"/>
      <c r="DI9" s="76"/>
      <c r="DJ9">
        <v>42.857142857142854</v>
      </c>
      <c r="DK9">
        <v>26.315789473684209</v>
      </c>
      <c r="DL9" s="82">
        <v>28.35820895522388</v>
      </c>
      <c r="DM9" s="81">
        <f t="shared" si="0"/>
        <v>32.510380428683646</v>
      </c>
      <c r="DN9" s="82">
        <f t="shared" si="3"/>
        <v>9.018563571759902</v>
      </c>
      <c r="DQ9" s="94" t="s">
        <v>126</v>
      </c>
      <c r="DR9">
        <v>0</v>
      </c>
      <c r="DS9">
        <v>6</v>
      </c>
      <c r="DT9">
        <v>35</v>
      </c>
      <c r="DU9">
        <v>7</v>
      </c>
      <c r="DV9">
        <f t="shared" si="1"/>
        <v>28</v>
      </c>
      <c r="DW9" s="95">
        <f t="shared" si="2"/>
        <v>20</v>
      </c>
    </row>
    <row r="10" spans="2:139" x14ac:dyDescent="0.2">
      <c r="B10" s="1">
        <f t="shared" ref="B10:B15" si="30">6*B9/18</f>
        <v>3.3950617283950622E-2</v>
      </c>
      <c r="C10" s="1">
        <v>2</v>
      </c>
      <c r="D10" s="2">
        <v>4</v>
      </c>
      <c r="E10" s="1">
        <v>1</v>
      </c>
      <c r="F10" s="2">
        <v>6</v>
      </c>
      <c r="G10" s="1">
        <v>4</v>
      </c>
      <c r="H10" s="2">
        <v>3</v>
      </c>
      <c r="I10" s="1">
        <f t="shared" si="7"/>
        <v>7</v>
      </c>
      <c r="J10">
        <f t="shared" si="8"/>
        <v>13</v>
      </c>
      <c r="K10">
        <f t="shared" si="9"/>
        <v>20</v>
      </c>
      <c r="L10">
        <f t="shared" si="10"/>
        <v>35</v>
      </c>
      <c r="M10" s="2">
        <f t="shared" si="11"/>
        <v>65</v>
      </c>
      <c r="O10" s="29">
        <f t="shared" ref="O10:O13" si="31">6*O9/18</f>
        <v>7.407407407407407E-2</v>
      </c>
      <c r="P10" s="30">
        <f t="shared" si="4"/>
        <v>2.5000000000000001E-2</v>
      </c>
      <c r="Q10">
        <f>5-4</f>
        <v>1</v>
      </c>
      <c r="R10" s="2">
        <v>4</v>
      </c>
      <c r="S10" s="1">
        <f>8-6</f>
        <v>2</v>
      </c>
      <c r="T10" s="2">
        <v>6</v>
      </c>
      <c r="U10" s="1">
        <f>12-9</f>
        <v>3</v>
      </c>
      <c r="V10" s="2">
        <v>9</v>
      </c>
      <c r="W10" s="1">
        <f t="shared" ref="W10:W14" si="32">Q10+S10+U10</f>
        <v>6</v>
      </c>
      <c r="X10">
        <f t="shared" si="13"/>
        <v>19</v>
      </c>
      <c r="Y10">
        <f t="shared" si="14"/>
        <v>25</v>
      </c>
      <c r="Z10">
        <f t="shared" si="15"/>
        <v>24</v>
      </c>
      <c r="AA10" s="2">
        <f t="shared" si="16"/>
        <v>76</v>
      </c>
      <c r="AD10" s="30">
        <f t="shared" si="5"/>
        <v>0.35595703125</v>
      </c>
      <c r="AE10" s="22">
        <f>37-11</f>
        <v>26</v>
      </c>
      <c r="AF10">
        <v>10</v>
      </c>
      <c r="AG10" s="27">
        <v>1</v>
      </c>
      <c r="AH10" s="22">
        <f>44-15</f>
        <v>29</v>
      </c>
      <c r="AI10">
        <v>11</v>
      </c>
      <c r="AJ10" s="27">
        <v>4</v>
      </c>
      <c r="AK10" s="22">
        <f>50-13</f>
        <v>37</v>
      </c>
      <c r="AL10">
        <v>12</v>
      </c>
      <c r="AM10" s="27">
        <v>1</v>
      </c>
      <c r="AN10">
        <f t="shared" si="17"/>
        <v>92</v>
      </c>
      <c r="AO10">
        <f t="shared" si="18"/>
        <v>33</v>
      </c>
      <c r="AP10">
        <f t="shared" si="19"/>
        <v>6</v>
      </c>
      <c r="AQ10">
        <f t="shared" si="20"/>
        <v>131</v>
      </c>
      <c r="AR10">
        <f t="shared" si="21"/>
        <v>70.229007633587784</v>
      </c>
      <c r="AS10">
        <f t="shared" si="22"/>
        <v>25.190839694656486</v>
      </c>
      <c r="AT10" s="27">
        <f t="shared" si="23"/>
        <v>4.5801526717557248</v>
      </c>
      <c r="AW10" s="30">
        <f>6*AW9/18</f>
        <v>10.588235294117647</v>
      </c>
      <c r="AX10" s="22">
        <v>16</v>
      </c>
      <c r="AY10" s="27">
        <f t="shared" si="25"/>
        <v>27</v>
      </c>
      <c r="AZ10" s="22">
        <v>26</v>
      </c>
      <c r="BA10" s="27">
        <f t="shared" si="26"/>
        <v>0</v>
      </c>
      <c r="BB10" s="22">
        <v>8</v>
      </c>
      <c r="BC10" s="27">
        <f t="shared" si="27"/>
        <v>11</v>
      </c>
      <c r="BD10" s="22">
        <v>13</v>
      </c>
      <c r="BE10" s="27">
        <f t="shared" si="28"/>
        <v>15</v>
      </c>
      <c r="BM10">
        <v>4</v>
      </c>
      <c r="BN10" s="22">
        <f t="shared" si="29"/>
        <v>1.5925925925925926</v>
      </c>
      <c r="BO10" s="22"/>
      <c r="BP10" s="27"/>
      <c r="BQ10" s="22"/>
      <c r="BR10" s="27"/>
      <c r="BS10" s="22"/>
      <c r="BT10" s="27"/>
      <c r="BU10" s="22">
        <v>27</v>
      </c>
      <c r="BV10" s="27">
        <v>8</v>
      </c>
      <c r="BW10" s="22">
        <v>24</v>
      </c>
      <c r="BX10">
        <v>7</v>
      </c>
      <c r="BY10" s="22">
        <v>38</v>
      </c>
      <c r="BZ10" s="27">
        <v>12</v>
      </c>
      <c r="CB10">
        <v>4.6365197481396674</v>
      </c>
      <c r="CC10">
        <v>63.636363636363633</v>
      </c>
      <c r="CD10">
        <v>34.782608695652172</v>
      </c>
      <c r="CE10">
        <v>36.84210526315789</v>
      </c>
      <c r="CF10">
        <v>72.727272727272734</v>
      </c>
      <c r="CS10" s="30">
        <f t="shared" ref="CS10:CS12" si="33">8*CS9/24</f>
        <v>40</v>
      </c>
      <c r="CT10">
        <v>4.4444444444444446</v>
      </c>
      <c r="CU10">
        <v>2</v>
      </c>
      <c r="CV10" s="30">
        <f t="shared" si="24"/>
        <v>40</v>
      </c>
      <c r="CW10" s="22">
        <v>21</v>
      </c>
      <c r="CX10" s="27">
        <v>8</v>
      </c>
      <c r="CY10" s="22">
        <v>54</v>
      </c>
      <c r="CZ10" s="27">
        <v>21</v>
      </c>
      <c r="DA10" s="22">
        <v>59</v>
      </c>
      <c r="DB10" s="27">
        <v>22</v>
      </c>
      <c r="DF10" s="79">
        <v>13</v>
      </c>
      <c r="DG10" s="81">
        <v>33.333333333333329</v>
      </c>
      <c r="DH10">
        <v>37.209302325581397</v>
      </c>
      <c r="DI10">
        <v>31.25</v>
      </c>
      <c r="DJ10" s="76"/>
      <c r="DK10" s="76"/>
      <c r="DL10" s="85"/>
      <c r="DM10" s="81">
        <f t="shared" si="0"/>
        <v>33.930878552971571</v>
      </c>
      <c r="DN10" s="82">
        <f t="shared" si="3"/>
        <v>3.0242546633930076</v>
      </c>
      <c r="DQ10" s="94" t="s">
        <v>126</v>
      </c>
      <c r="DR10">
        <v>0.53</v>
      </c>
      <c r="DS10">
        <v>1</v>
      </c>
      <c r="DT10">
        <v>25</v>
      </c>
      <c r="DU10">
        <v>6</v>
      </c>
      <c r="DV10">
        <f t="shared" si="1"/>
        <v>19</v>
      </c>
      <c r="DW10" s="95">
        <f t="shared" si="2"/>
        <v>24</v>
      </c>
      <c r="DY10" t="s">
        <v>128</v>
      </c>
    </row>
    <row r="11" spans="2:139" ht="17" thickBot="1" x14ac:dyDescent="0.25">
      <c r="B11" s="1">
        <f t="shared" si="30"/>
        <v>1.131687242798354E-2</v>
      </c>
      <c r="C11" s="1">
        <v>7</v>
      </c>
      <c r="D11" s="2">
        <v>6</v>
      </c>
      <c r="E11" s="1">
        <v>3</v>
      </c>
      <c r="F11" s="2">
        <v>5</v>
      </c>
      <c r="G11" s="1">
        <v>1</v>
      </c>
      <c r="H11" s="2">
        <v>3</v>
      </c>
      <c r="I11" s="1">
        <f t="shared" si="7"/>
        <v>11</v>
      </c>
      <c r="J11">
        <f t="shared" si="8"/>
        <v>14</v>
      </c>
      <c r="K11">
        <f t="shared" si="9"/>
        <v>25</v>
      </c>
      <c r="L11">
        <f t="shared" si="10"/>
        <v>44</v>
      </c>
      <c r="M11" s="2">
        <f t="shared" si="11"/>
        <v>56.000000000000007</v>
      </c>
      <c r="O11" s="29">
        <f t="shared" si="31"/>
        <v>2.4691358024691357E-2</v>
      </c>
      <c r="P11" s="30">
        <f t="shared" si="4"/>
        <v>7.3999999999999996E-2</v>
      </c>
      <c r="Q11">
        <f>45-33</f>
        <v>12</v>
      </c>
      <c r="R11" s="2">
        <v>33</v>
      </c>
      <c r="S11" s="1">
        <f>39-24</f>
        <v>15</v>
      </c>
      <c r="T11" s="2">
        <v>24</v>
      </c>
      <c r="U11" s="1">
        <f>62-41</f>
        <v>21</v>
      </c>
      <c r="V11" s="2">
        <v>41</v>
      </c>
      <c r="W11" s="1">
        <f t="shared" si="32"/>
        <v>48</v>
      </c>
      <c r="X11">
        <f t="shared" si="13"/>
        <v>98</v>
      </c>
      <c r="Y11">
        <f t="shared" si="14"/>
        <v>146</v>
      </c>
      <c r="Z11">
        <f t="shared" si="15"/>
        <v>32.87671232876712</v>
      </c>
      <c r="AA11" s="2">
        <f t="shared" si="16"/>
        <v>67.123287671232873</v>
      </c>
      <c r="AD11" s="30">
        <f t="shared" si="5"/>
        <v>0.94921875</v>
      </c>
      <c r="AE11" s="22">
        <f>33-8</f>
        <v>25</v>
      </c>
      <c r="AF11">
        <v>8</v>
      </c>
      <c r="AG11" s="27">
        <v>0</v>
      </c>
      <c r="AH11" s="22">
        <f>40-13</f>
        <v>27</v>
      </c>
      <c r="AI11">
        <v>10</v>
      </c>
      <c r="AJ11" s="27">
        <v>3</v>
      </c>
      <c r="AK11" s="22">
        <f>74-24</f>
        <v>50</v>
      </c>
      <c r="AL11">
        <v>20</v>
      </c>
      <c r="AM11" s="27">
        <v>4</v>
      </c>
      <c r="AN11">
        <f t="shared" si="17"/>
        <v>102</v>
      </c>
      <c r="AO11">
        <f t="shared" si="18"/>
        <v>38</v>
      </c>
      <c r="AP11">
        <f t="shared" si="19"/>
        <v>7</v>
      </c>
      <c r="AQ11">
        <f t="shared" si="20"/>
        <v>147</v>
      </c>
      <c r="AR11">
        <f t="shared" si="21"/>
        <v>69.387755102040813</v>
      </c>
      <c r="AS11">
        <f t="shared" si="22"/>
        <v>25.850340136054424</v>
      </c>
      <c r="AT11" s="27">
        <f t="shared" si="23"/>
        <v>4.7619047619047619</v>
      </c>
      <c r="AW11" s="31">
        <v>0</v>
      </c>
      <c r="AX11" s="38">
        <v>9</v>
      </c>
      <c r="AY11" s="35">
        <f t="shared" si="25"/>
        <v>20</v>
      </c>
      <c r="AZ11" s="38">
        <v>9</v>
      </c>
      <c r="BA11" s="35">
        <f t="shared" si="26"/>
        <v>0</v>
      </c>
      <c r="BB11" s="38">
        <v>1</v>
      </c>
      <c r="BC11" s="35">
        <f t="shared" si="27"/>
        <v>9</v>
      </c>
      <c r="BD11" s="38">
        <v>5</v>
      </c>
      <c r="BE11" s="35">
        <f t="shared" si="28"/>
        <v>12</v>
      </c>
      <c r="BJ11">
        <v>4</v>
      </c>
      <c r="BK11" cm="1">
        <f t="array" ref="BK11:BK16">_xlfn.SORTBY(BJ11:BJ16,ROW(BJ11:BJ16),-1)</f>
        <v>0</v>
      </c>
      <c r="BM11">
        <v>3</v>
      </c>
      <c r="BN11" s="22">
        <f t="shared" si="29"/>
        <v>4.7777777777777777</v>
      </c>
      <c r="BO11" s="22"/>
      <c r="BP11" s="27"/>
      <c r="BQ11" s="22"/>
      <c r="BR11" s="27"/>
      <c r="BS11" s="22"/>
      <c r="BT11" s="27"/>
      <c r="BU11" s="22">
        <v>21</v>
      </c>
      <c r="BV11" s="27">
        <v>9</v>
      </c>
      <c r="BW11" s="22">
        <v>57</v>
      </c>
      <c r="BX11">
        <v>15</v>
      </c>
      <c r="BY11" s="22">
        <v>67</v>
      </c>
      <c r="BZ11" s="27">
        <v>19</v>
      </c>
      <c r="CS11" s="30">
        <f t="shared" si="33"/>
        <v>13.333333333333334</v>
      </c>
      <c r="CT11">
        <v>13.333333333333334</v>
      </c>
      <c r="CU11">
        <v>1</v>
      </c>
      <c r="CV11" s="31">
        <f t="shared" si="24"/>
        <v>120</v>
      </c>
      <c r="CW11" s="38">
        <v>22</v>
      </c>
      <c r="CX11" s="35">
        <v>10</v>
      </c>
      <c r="CY11" s="38">
        <v>38</v>
      </c>
      <c r="CZ11" s="35">
        <v>12</v>
      </c>
      <c r="DA11" s="38">
        <v>40</v>
      </c>
      <c r="DB11" s="35">
        <v>14</v>
      </c>
      <c r="DF11" s="79">
        <v>14</v>
      </c>
      <c r="DG11" s="83"/>
      <c r="DH11" s="76"/>
      <c r="DI11" s="76"/>
      <c r="DJ11">
        <v>46.153846153846153</v>
      </c>
      <c r="DK11">
        <v>34</v>
      </c>
      <c r="DL11" s="82">
        <v>36.734693877551024</v>
      </c>
      <c r="DM11" s="81">
        <f t="shared" si="0"/>
        <v>38.962846677132397</v>
      </c>
      <c r="DN11" s="82">
        <f t="shared" si="3"/>
        <v>6.3759307364926698</v>
      </c>
      <c r="DQ11" s="94" t="s">
        <v>126</v>
      </c>
      <c r="DR11">
        <v>0.53</v>
      </c>
      <c r="DS11">
        <v>2</v>
      </c>
      <c r="DT11">
        <v>21</v>
      </c>
      <c r="DU11">
        <v>4</v>
      </c>
      <c r="DV11">
        <f t="shared" si="1"/>
        <v>17</v>
      </c>
      <c r="DW11" s="95">
        <f t="shared" si="2"/>
        <v>19.047619047619047</v>
      </c>
      <c r="DY11" t="s">
        <v>61</v>
      </c>
      <c r="DZ11" s="74"/>
    </row>
    <row r="12" spans="2:139" ht="17" thickBot="1" x14ac:dyDescent="0.25">
      <c r="B12" s="1">
        <f t="shared" si="30"/>
        <v>3.7722908093278463E-3</v>
      </c>
      <c r="C12" s="1">
        <v>12</v>
      </c>
      <c r="D12" s="2">
        <v>22</v>
      </c>
      <c r="E12" s="1">
        <v>8</v>
      </c>
      <c r="F12" s="2">
        <v>8</v>
      </c>
      <c r="G12" s="1">
        <v>9</v>
      </c>
      <c r="H12" s="2">
        <v>12</v>
      </c>
      <c r="I12" s="1">
        <f t="shared" si="7"/>
        <v>29</v>
      </c>
      <c r="J12">
        <f t="shared" si="8"/>
        <v>42</v>
      </c>
      <c r="K12">
        <f t="shared" si="9"/>
        <v>71</v>
      </c>
      <c r="L12">
        <f t="shared" si="10"/>
        <v>40.845070422535215</v>
      </c>
      <c r="M12" s="2">
        <f t="shared" si="11"/>
        <v>59.154929577464785</v>
      </c>
      <c r="O12" s="29">
        <f t="shared" si="31"/>
        <v>8.2304526748971183E-3</v>
      </c>
      <c r="P12" s="30">
        <f t="shared" si="4"/>
        <v>0.22</v>
      </c>
      <c r="Q12">
        <f>15-12</f>
        <v>3</v>
      </c>
      <c r="R12" s="2">
        <v>12</v>
      </c>
      <c r="S12" s="1">
        <f>27-18</f>
        <v>9</v>
      </c>
      <c r="T12" s="2">
        <v>18</v>
      </c>
      <c r="U12" s="1">
        <f>17-11</f>
        <v>6</v>
      </c>
      <c r="V12" s="2">
        <v>11</v>
      </c>
      <c r="W12" s="1">
        <f t="shared" si="32"/>
        <v>18</v>
      </c>
      <c r="X12">
        <f t="shared" si="13"/>
        <v>41</v>
      </c>
      <c r="Y12">
        <f t="shared" si="14"/>
        <v>59</v>
      </c>
      <c r="Z12">
        <f t="shared" si="15"/>
        <v>30.508474576271187</v>
      </c>
      <c r="AA12" s="2">
        <f t="shared" si="16"/>
        <v>69.491525423728817</v>
      </c>
      <c r="AD12" s="31">
        <f>AE19</f>
        <v>2.53125</v>
      </c>
      <c r="AE12" s="38">
        <f>60-18</f>
        <v>42</v>
      </c>
      <c r="AF12" s="34">
        <v>18</v>
      </c>
      <c r="AG12" s="35">
        <v>0</v>
      </c>
      <c r="AH12" s="38">
        <f>41-13</f>
        <v>28</v>
      </c>
      <c r="AI12" s="34">
        <v>13</v>
      </c>
      <c r="AJ12" s="35">
        <v>0</v>
      </c>
      <c r="AK12" s="38">
        <f>43-16</f>
        <v>27</v>
      </c>
      <c r="AL12" s="34">
        <v>9</v>
      </c>
      <c r="AM12" s="35">
        <v>7</v>
      </c>
      <c r="AN12" s="34">
        <f t="shared" si="17"/>
        <v>97</v>
      </c>
      <c r="AO12" s="34">
        <f t="shared" si="18"/>
        <v>40</v>
      </c>
      <c r="AP12" s="34">
        <f t="shared" si="19"/>
        <v>7</v>
      </c>
      <c r="AQ12" s="34">
        <f t="shared" si="20"/>
        <v>144</v>
      </c>
      <c r="AR12" s="34">
        <f t="shared" si="21"/>
        <v>67.361111111111114</v>
      </c>
      <c r="AS12" s="34">
        <f t="shared" si="22"/>
        <v>27.777777777777779</v>
      </c>
      <c r="AT12" s="35">
        <f t="shared" si="23"/>
        <v>4.8611111111111116</v>
      </c>
      <c r="AX12" s="106" t="s">
        <v>15</v>
      </c>
      <c r="AY12" s="107"/>
      <c r="AZ12" s="107"/>
      <c r="BA12" s="107"/>
      <c r="BB12" s="107"/>
      <c r="BC12" s="107"/>
      <c r="BD12" s="107"/>
      <c r="BE12" s="108"/>
      <c r="BJ12" s="30">
        <f>8*BJ11/24</f>
        <v>1.3333333333333333</v>
      </c>
      <c r="BK12">
        <v>4.9382716049382713E-2</v>
      </c>
      <c r="BM12">
        <v>2</v>
      </c>
      <c r="BN12" s="22">
        <f t="shared" si="29"/>
        <v>14.333333333333334</v>
      </c>
      <c r="BO12" s="22"/>
      <c r="BP12" s="27"/>
      <c r="BQ12" s="22"/>
      <c r="BR12" s="27"/>
      <c r="BS12" s="22"/>
      <c r="BT12" s="27"/>
      <c r="BU12" s="22">
        <v>13</v>
      </c>
      <c r="BV12" s="27">
        <v>6</v>
      </c>
      <c r="BW12" s="22">
        <v>50</v>
      </c>
      <c r="BX12">
        <v>17</v>
      </c>
      <c r="BY12" s="22">
        <v>49</v>
      </c>
      <c r="BZ12" s="27">
        <v>18</v>
      </c>
      <c r="CS12" s="30">
        <f t="shared" si="33"/>
        <v>4.4444444444444446</v>
      </c>
      <c r="CT12">
        <v>40</v>
      </c>
      <c r="DF12" s="79">
        <v>40</v>
      </c>
      <c r="DG12" s="81">
        <v>38.095238095238095</v>
      </c>
      <c r="DH12">
        <v>38.888888888888893</v>
      </c>
      <c r="DI12">
        <v>37.288135593220339</v>
      </c>
      <c r="DJ12" s="76"/>
      <c r="DK12" s="76"/>
      <c r="DL12" s="85"/>
      <c r="DM12" s="81">
        <f t="shared" si="0"/>
        <v>38.090754192449111</v>
      </c>
      <c r="DN12" s="82">
        <f t="shared" si="3"/>
        <v>0.80038606774268628</v>
      </c>
      <c r="DQ12" s="94" t="s">
        <v>126</v>
      </c>
      <c r="DR12">
        <v>0.53</v>
      </c>
      <c r="DS12">
        <v>3</v>
      </c>
      <c r="DT12">
        <v>41</v>
      </c>
      <c r="DU12">
        <v>10</v>
      </c>
      <c r="DV12">
        <f t="shared" si="1"/>
        <v>31</v>
      </c>
      <c r="DW12" s="95">
        <f t="shared" si="2"/>
        <v>24.390243902439025</v>
      </c>
      <c r="DY12">
        <v>2</v>
      </c>
      <c r="DZ12">
        <f>5.75*20*10^4</f>
        <v>1150000</v>
      </c>
      <c r="EA12" s="103">
        <v>1150000</v>
      </c>
      <c r="EC12">
        <f>DZ13/DZ12</f>
        <v>0.34782608695652173</v>
      </c>
      <c r="ED12" t="s">
        <v>137</v>
      </c>
    </row>
    <row r="13" spans="2:139" ht="17" thickBot="1" x14ac:dyDescent="0.25">
      <c r="B13" s="1">
        <f t="shared" si="30"/>
        <v>1.2574302697759489E-3</v>
      </c>
      <c r="C13" s="1">
        <v>11</v>
      </c>
      <c r="D13" s="2">
        <v>8</v>
      </c>
      <c r="E13" s="1">
        <v>12</v>
      </c>
      <c r="F13" s="2">
        <v>22</v>
      </c>
      <c r="G13" s="1">
        <v>14</v>
      </c>
      <c r="H13" s="2">
        <v>12</v>
      </c>
      <c r="I13" s="1">
        <f t="shared" si="7"/>
        <v>37</v>
      </c>
      <c r="J13">
        <f t="shared" si="8"/>
        <v>42</v>
      </c>
      <c r="K13">
        <f t="shared" si="9"/>
        <v>79</v>
      </c>
      <c r="L13">
        <f t="shared" si="10"/>
        <v>46.835443037974684</v>
      </c>
      <c r="M13" s="2">
        <f t="shared" si="11"/>
        <v>53.164556962025308</v>
      </c>
      <c r="O13" s="29">
        <f t="shared" si="31"/>
        <v>2.7434842249657062E-3</v>
      </c>
      <c r="P13" s="30">
        <f t="shared" si="4"/>
        <v>0.67</v>
      </c>
      <c r="Q13">
        <f>147-111</f>
        <v>36</v>
      </c>
      <c r="R13" s="2">
        <v>111</v>
      </c>
      <c r="S13" s="1">
        <f>37-24</f>
        <v>13</v>
      </c>
      <c r="T13" s="2">
        <v>24</v>
      </c>
      <c r="U13" s="1">
        <f>26-17</f>
        <v>9</v>
      </c>
      <c r="V13" s="2">
        <v>17</v>
      </c>
      <c r="W13" s="1">
        <f t="shared" si="32"/>
        <v>58</v>
      </c>
      <c r="X13">
        <f t="shared" si="13"/>
        <v>152</v>
      </c>
      <c r="Y13">
        <f t="shared" si="14"/>
        <v>210</v>
      </c>
      <c r="Z13">
        <f t="shared" si="15"/>
        <v>27.61904761904762</v>
      </c>
      <c r="AA13" s="2">
        <f t="shared" si="16"/>
        <v>72.38095238095238</v>
      </c>
      <c r="AW13" s="43" t="s">
        <v>65</v>
      </c>
      <c r="AX13" s="41" t="s">
        <v>20</v>
      </c>
      <c r="AY13" s="44" t="s">
        <v>17</v>
      </c>
      <c r="AZ13" s="41" t="s">
        <v>20</v>
      </c>
      <c r="BA13" s="44" t="s">
        <v>17</v>
      </c>
      <c r="BB13" s="41" t="s">
        <v>68</v>
      </c>
      <c r="BC13" s="44" t="s">
        <v>17</v>
      </c>
      <c r="BD13" s="41" t="s">
        <v>68</v>
      </c>
      <c r="BE13" s="44" t="s">
        <v>17</v>
      </c>
      <c r="BJ13" s="30">
        <f t="shared" ref="BJ13:BJ15" si="34">8*BJ12/24</f>
        <v>0.44444444444444442</v>
      </c>
      <c r="BK13">
        <v>0.14814814814814814</v>
      </c>
      <c r="BM13">
        <v>1</v>
      </c>
      <c r="BN13" s="38">
        <f>BK9</f>
        <v>43</v>
      </c>
      <c r="BO13" s="22">
        <v>23</v>
      </c>
      <c r="BP13" s="27">
        <v>8</v>
      </c>
      <c r="BQ13" s="22"/>
      <c r="BR13" s="27"/>
      <c r="BS13" s="22"/>
      <c r="BT13" s="27"/>
      <c r="BU13" s="22">
        <v>11</v>
      </c>
      <c r="BV13" s="27">
        <v>7</v>
      </c>
      <c r="BW13" s="22">
        <v>46</v>
      </c>
      <c r="BX13">
        <v>16</v>
      </c>
      <c r="BY13" s="22">
        <v>19</v>
      </c>
      <c r="BZ13" s="27">
        <v>7</v>
      </c>
      <c r="CS13">
        <v>0</v>
      </c>
      <c r="CT13">
        <v>120</v>
      </c>
      <c r="CW13" s="106" t="s">
        <v>98</v>
      </c>
      <c r="CX13" s="107"/>
      <c r="CY13" s="107"/>
      <c r="CZ13" s="107"/>
      <c r="DA13" s="107"/>
      <c r="DB13" s="108"/>
      <c r="DF13" s="79">
        <v>43</v>
      </c>
      <c r="DG13" s="83"/>
      <c r="DH13" s="76"/>
      <c r="DI13" s="76"/>
      <c r="DJ13">
        <v>63.636363636363633</v>
      </c>
      <c r="DK13">
        <v>34.782608695652172</v>
      </c>
      <c r="DL13" s="82">
        <v>36.84210526315789</v>
      </c>
      <c r="DM13" s="81">
        <f t="shared" si="0"/>
        <v>45.087025865057903</v>
      </c>
      <c r="DN13" s="82">
        <f t="shared" si="3"/>
        <v>16.097168395198693</v>
      </c>
      <c r="DQ13" s="94" t="s">
        <v>126</v>
      </c>
      <c r="DR13">
        <v>1.6</v>
      </c>
      <c r="DS13">
        <v>1</v>
      </c>
      <c r="DT13">
        <v>27</v>
      </c>
      <c r="DU13">
        <v>8</v>
      </c>
      <c r="DV13">
        <f t="shared" si="1"/>
        <v>19</v>
      </c>
      <c r="DW13" s="95">
        <f t="shared" si="2"/>
        <v>29.629629629629626</v>
      </c>
      <c r="DY13">
        <v>3</v>
      </c>
      <c r="DZ13">
        <f>2*20*10^4</f>
        <v>400000</v>
      </c>
      <c r="EA13" s="103">
        <v>400000</v>
      </c>
    </row>
    <row r="14" spans="2:139" ht="17" thickBot="1" x14ac:dyDescent="0.25">
      <c r="B14" s="1">
        <f t="shared" si="30"/>
        <v>4.1914342325864961E-4</v>
      </c>
      <c r="C14" s="1">
        <v>8</v>
      </c>
      <c r="D14" s="2">
        <v>7</v>
      </c>
      <c r="E14" s="1">
        <v>3</v>
      </c>
      <c r="F14" s="2">
        <v>3</v>
      </c>
      <c r="G14" s="1">
        <v>3</v>
      </c>
      <c r="H14" s="2">
        <v>6</v>
      </c>
      <c r="I14" s="1">
        <f t="shared" si="7"/>
        <v>14</v>
      </c>
      <c r="J14">
        <f t="shared" si="8"/>
        <v>16</v>
      </c>
      <c r="K14">
        <f t="shared" si="9"/>
        <v>30</v>
      </c>
      <c r="L14">
        <f t="shared" si="10"/>
        <v>46.666666666666664</v>
      </c>
      <c r="M14" s="2">
        <f t="shared" si="11"/>
        <v>53.333333333333336</v>
      </c>
      <c r="O14" s="32">
        <v>0</v>
      </c>
      <c r="P14" s="33">
        <f t="shared" si="4"/>
        <v>2</v>
      </c>
      <c r="Q14" s="4">
        <f>31-25</f>
        <v>6</v>
      </c>
      <c r="R14" s="5">
        <v>25</v>
      </c>
      <c r="S14" s="3">
        <f>180-134</f>
        <v>46</v>
      </c>
      <c r="T14" s="5">
        <v>134</v>
      </c>
      <c r="U14" s="3">
        <f>26-22</f>
        <v>4</v>
      </c>
      <c r="V14" s="5">
        <v>22</v>
      </c>
      <c r="W14" s="1">
        <f t="shared" si="32"/>
        <v>56</v>
      </c>
      <c r="X14" s="4">
        <f t="shared" si="13"/>
        <v>181</v>
      </c>
      <c r="Y14" s="4">
        <f t="shared" si="14"/>
        <v>237</v>
      </c>
      <c r="Z14">
        <f t="shared" si="15"/>
        <v>23.628691983122362</v>
      </c>
      <c r="AA14" s="5">
        <f t="shared" si="16"/>
        <v>76.371308016877634</v>
      </c>
      <c r="AD14" s="41">
        <v>18</v>
      </c>
      <c r="AE14" s="39" cm="1">
        <f t="array" ref="AE14:AE21">_xlfn.SORTBY(AD14:AD21,ROW(AD14:AD21),-1)</f>
        <v>0</v>
      </c>
      <c r="AW14" s="30">
        <f>(60*27)/17</f>
        <v>95.294117647058826</v>
      </c>
      <c r="AX14" s="22">
        <v>25</v>
      </c>
      <c r="AY14" s="27">
        <f>AX8/AX14*100</f>
        <v>68</v>
      </c>
      <c r="AZ14" s="22">
        <v>28</v>
      </c>
      <c r="BA14" s="27">
        <f>AZ8/AZ14*100</f>
        <v>100</v>
      </c>
      <c r="BB14" s="22">
        <v>11</v>
      </c>
      <c r="BC14" s="27">
        <f>BB8/BB14*100</f>
        <v>72.727272727272734</v>
      </c>
      <c r="BD14" s="22">
        <v>26</v>
      </c>
      <c r="BE14" s="27">
        <f>BD8/BD14*100</f>
        <v>46.153846153846153</v>
      </c>
      <c r="BJ14" s="30">
        <f t="shared" si="34"/>
        <v>0.14814814814814814</v>
      </c>
      <c r="BK14">
        <v>0.44444444444444442</v>
      </c>
      <c r="BO14" s="106" t="s">
        <v>15</v>
      </c>
      <c r="BP14" s="107"/>
      <c r="BQ14" s="107"/>
      <c r="BR14" s="107"/>
      <c r="BS14" s="107"/>
      <c r="BT14" s="107"/>
      <c r="BU14" s="107"/>
      <c r="BV14" s="107"/>
      <c r="BW14" s="107"/>
      <c r="BX14" s="107"/>
      <c r="BY14" s="107"/>
      <c r="BZ14" s="108"/>
      <c r="CV14" s="43" t="s">
        <v>26</v>
      </c>
      <c r="CW14" s="50"/>
      <c r="CX14" s="44" t="s">
        <v>17</v>
      </c>
      <c r="CY14" s="50"/>
      <c r="CZ14" s="44" t="s">
        <v>17</v>
      </c>
      <c r="DA14" s="50"/>
      <c r="DB14" s="44" t="s">
        <v>17</v>
      </c>
      <c r="DF14" s="80">
        <v>120</v>
      </c>
      <c r="DG14" s="86">
        <v>45.454545454545453</v>
      </c>
      <c r="DH14" s="87">
        <v>31.578947368421051</v>
      </c>
      <c r="DI14" s="87">
        <v>35</v>
      </c>
      <c r="DJ14" s="88"/>
      <c r="DK14" s="88"/>
      <c r="DL14" s="89"/>
      <c r="DM14" s="86">
        <f t="shared" si="0"/>
        <v>37.344497607655505</v>
      </c>
      <c r="DN14" s="92">
        <f t="shared" si="3"/>
        <v>7.228800546158471</v>
      </c>
      <c r="DQ14" s="94" t="s">
        <v>126</v>
      </c>
      <c r="DR14">
        <v>1.6</v>
      </c>
      <c r="DS14">
        <v>2</v>
      </c>
      <c r="DT14">
        <v>24</v>
      </c>
      <c r="DU14">
        <v>7</v>
      </c>
      <c r="DV14">
        <f t="shared" si="1"/>
        <v>17</v>
      </c>
      <c r="DW14" s="95">
        <f t="shared" si="2"/>
        <v>29.166666666666668</v>
      </c>
    </row>
    <row r="15" spans="2:139" ht="17" thickBot="1" x14ac:dyDescent="0.25">
      <c r="B15" s="3">
        <f t="shared" si="30"/>
        <v>1.3971447441954988E-4</v>
      </c>
      <c r="C15" s="3">
        <v>8</v>
      </c>
      <c r="D15" s="5">
        <v>3</v>
      </c>
      <c r="E15" s="3">
        <v>5</v>
      </c>
      <c r="F15" s="5">
        <v>8</v>
      </c>
      <c r="G15" s="3">
        <v>2</v>
      </c>
      <c r="H15" s="5">
        <v>4</v>
      </c>
      <c r="I15" s="3">
        <f t="shared" si="7"/>
        <v>15</v>
      </c>
      <c r="J15" s="4">
        <f t="shared" si="8"/>
        <v>15</v>
      </c>
      <c r="K15" s="4">
        <f t="shared" si="9"/>
        <v>30</v>
      </c>
      <c r="L15">
        <f t="shared" si="10"/>
        <v>50</v>
      </c>
      <c r="M15" s="2">
        <f t="shared" si="11"/>
        <v>50</v>
      </c>
      <c r="W15" s="7"/>
      <c r="Z15" s="7"/>
      <c r="AD15" s="22">
        <f>6*AD14/16</f>
        <v>6.75</v>
      </c>
      <c r="AE15" s="30">
        <v>5.005645751953125E-2</v>
      </c>
      <c r="AH15" t="s">
        <v>62</v>
      </c>
      <c r="AW15" s="30">
        <f>6*AW14/18</f>
        <v>31.764705882352942</v>
      </c>
      <c r="AX15" s="22">
        <v>36</v>
      </c>
      <c r="AY15" s="27">
        <f t="shared" ref="AY15:AY17" si="35">AX9/AX15*100</f>
        <v>63.888888888888886</v>
      </c>
      <c r="AZ15" s="22">
        <v>20</v>
      </c>
      <c r="BA15" s="27">
        <f t="shared" ref="BA15:BA17" si="36">AZ9/AZ15*100</f>
        <v>100</v>
      </c>
      <c r="BB15" s="22">
        <v>16</v>
      </c>
      <c r="BC15" s="27">
        <f t="shared" ref="BC15:BC17" si="37">BB9/BB15*100</f>
        <v>62.5</v>
      </c>
      <c r="BD15" s="22">
        <v>5</v>
      </c>
      <c r="BE15" s="27">
        <f t="shared" ref="BE15:BE17" si="38">BD9/BD15*100</f>
        <v>100</v>
      </c>
      <c r="BJ15" s="30">
        <f t="shared" si="34"/>
        <v>4.9382716049382713E-2</v>
      </c>
      <c r="BK15">
        <v>1.3333333333333333</v>
      </c>
      <c r="BN15" s="45" t="s">
        <v>26</v>
      </c>
      <c r="BO15" s="50"/>
      <c r="BP15" s="44" t="s">
        <v>17</v>
      </c>
      <c r="BQ15" s="50"/>
      <c r="BR15" s="44" t="s">
        <v>17</v>
      </c>
      <c r="BS15" s="50"/>
      <c r="BT15" s="26" t="s">
        <v>17</v>
      </c>
      <c r="BU15" s="50"/>
      <c r="BV15" s="44" t="s">
        <v>17</v>
      </c>
      <c r="BW15" s="50"/>
      <c r="BX15" s="44" t="s">
        <v>17</v>
      </c>
      <c r="BY15" s="50"/>
      <c r="BZ15" s="44" t="s">
        <v>17</v>
      </c>
      <c r="CU15" s="55" t="s">
        <v>97</v>
      </c>
      <c r="CV15" s="30">
        <f>CV7</f>
        <v>0</v>
      </c>
      <c r="CW15" s="47"/>
      <c r="CX15" s="49">
        <f>CX7/CW7*100</f>
        <v>35</v>
      </c>
      <c r="CY15" s="47"/>
      <c r="CZ15" s="49">
        <f>CZ7/CY7*100</f>
        <v>24.242424242424242</v>
      </c>
      <c r="DA15" s="47"/>
      <c r="DB15" s="51">
        <f>DB7/DA7*100</f>
        <v>15.625</v>
      </c>
      <c r="DQ15" s="94" t="s">
        <v>126</v>
      </c>
      <c r="DR15">
        <v>1.6</v>
      </c>
      <c r="DS15">
        <v>3</v>
      </c>
      <c r="DT15">
        <v>38</v>
      </c>
      <c r="DU15">
        <v>12</v>
      </c>
      <c r="DV15">
        <f t="shared" si="1"/>
        <v>26</v>
      </c>
      <c r="DW15" s="95">
        <f t="shared" si="2"/>
        <v>31.578947368421051</v>
      </c>
      <c r="DY15" t="s">
        <v>135</v>
      </c>
    </row>
    <row r="16" spans="2:139" x14ac:dyDescent="0.2">
      <c r="L16" s="7"/>
      <c r="M16" s="7"/>
      <c r="P16" s="30" cm="1">
        <f t="array" ref="P16:P23">_xlfn.SORTBY(O7:O14,ROW(O7:O14),-1)</f>
        <v>0</v>
      </c>
      <c r="AD16" s="22">
        <f t="shared" ref="AD16:AD20" si="39">6*AD15/16</f>
        <v>2.53125</v>
      </c>
      <c r="AE16" s="30">
        <v>0.13348388671875</v>
      </c>
      <c r="AW16" s="30">
        <f>6*AW15/18</f>
        <v>10.588235294117647</v>
      </c>
      <c r="AX16" s="22">
        <v>43</v>
      </c>
      <c r="AY16" s="27">
        <f t="shared" si="35"/>
        <v>37.209302325581397</v>
      </c>
      <c r="AZ16" s="22">
        <v>26</v>
      </c>
      <c r="BA16" s="27">
        <f t="shared" si="36"/>
        <v>100</v>
      </c>
      <c r="BB16" s="22">
        <v>19</v>
      </c>
      <c r="BC16" s="27">
        <f t="shared" si="37"/>
        <v>42.105263157894733</v>
      </c>
      <c r="BD16" s="22">
        <v>28</v>
      </c>
      <c r="BE16" s="27">
        <f t="shared" si="38"/>
        <v>46.428571428571431</v>
      </c>
      <c r="BJ16">
        <v>0</v>
      </c>
      <c r="BK16">
        <v>4</v>
      </c>
      <c r="BN16" s="22">
        <f t="shared" ref="BN16:BN21" si="40">BK4</f>
        <v>0</v>
      </c>
      <c r="BO16" s="47"/>
      <c r="BP16" s="27">
        <f>BP8/BO8*100</f>
        <v>61.111111111111114</v>
      </c>
      <c r="BQ16" s="47"/>
      <c r="BR16" s="27">
        <f>BR8/BQ8*100</f>
        <v>60</v>
      </c>
      <c r="BS16" s="47"/>
      <c r="BT16" s="49">
        <f>BT8/BS8*100</f>
        <v>72.727272727272734</v>
      </c>
      <c r="BU16" s="47"/>
      <c r="BV16" s="51">
        <f>BV8/BU8*100</f>
        <v>6.666666666666667</v>
      </c>
      <c r="BW16" s="47"/>
      <c r="BX16" s="51">
        <f>BX8/BW8*100</f>
        <v>22.857142857142858</v>
      </c>
      <c r="BY16" s="47"/>
      <c r="BZ16" s="51">
        <f>BZ8/BY8*100</f>
        <v>20</v>
      </c>
      <c r="CG16" t="s">
        <v>95</v>
      </c>
      <c r="CU16">
        <v>4</v>
      </c>
      <c r="CV16" s="30">
        <f t="shared" ref="CV16:CV19" si="41">CV8</f>
        <v>4.4444444444444446</v>
      </c>
      <c r="CW16" s="47"/>
      <c r="CX16" s="49">
        <f t="shared" ref="CX16:CX19" si="42">CX8/CW8*100</f>
        <v>25</v>
      </c>
      <c r="CY16" s="47"/>
      <c r="CZ16" s="49">
        <f t="shared" ref="CZ16:CZ19" si="43">CZ8/CY8*100</f>
        <v>41.935483870967744</v>
      </c>
      <c r="DA16" s="47"/>
      <c r="DB16" s="51">
        <f t="shared" ref="DB16:DB19" si="44">DB8/DA8*100</f>
        <v>28.571428571428569</v>
      </c>
      <c r="DQ16" s="94" t="s">
        <v>126</v>
      </c>
      <c r="DR16">
        <v>4.4000000000000004</v>
      </c>
      <c r="DS16">
        <v>1</v>
      </c>
      <c r="DT16">
        <v>24</v>
      </c>
      <c r="DU16">
        <v>6</v>
      </c>
      <c r="DV16">
        <f t="shared" si="1"/>
        <v>18</v>
      </c>
      <c r="DW16" s="95">
        <f t="shared" si="2"/>
        <v>25</v>
      </c>
      <c r="DY16" t="s">
        <v>61</v>
      </c>
    </row>
    <row r="17" spans="2:134" ht="17" thickBot="1" x14ac:dyDescent="0.25">
      <c r="P17" s="22">
        <v>2.7434842249657062E-3</v>
      </c>
      <c r="AD17" s="22">
        <f t="shared" si="39"/>
        <v>0.94921875</v>
      </c>
      <c r="AE17" s="30">
        <v>0.35595703125</v>
      </c>
      <c r="AG17" t="s">
        <v>54</v>
      </c>
      <c r="AW17" s="31">
        <v>0</v>
      </c>
      <c r="AX17" s="38">
        <v>29</v>
      </c>
      <c r="AY17" s="35">
        <f t="shared" si="35"/>
        <v>31.03448275862069</v>
      </c>
      <c r="AZ17" s="38">
        <v>9</v>
      </c>
      <c r="BA17" s="35">
        <f t="shared" si="36"/>
        <v>100</v>
      </c>
      <c r="BB17" s="38">
        <v>10</v>
      </c>
      <c r="BC17" s="35">
        <f t="shared" si="37"/>
        <v>10</v>
      </c>
      <c r="BD17" s="38">
        <v>17</v>
      </c>
      <c r="BE17" s="35">
        <f t="shared" si="38"/>
        <v>29.411764705882355</v>
      </c>
      <c r="BN17" s="22">
        <f t="shared" si="40"/>
        <v>0.53086419753086422</v>
      </c>
      <c r="BO17" s="47"/>
      <c r="BP17" s="27" t="e">
        <f t="shared" ref="BP17:BR21" si="45">BP9/BO9*100</f>
        <v>#DIV/0!</v>
      </c>
      <c r="BQ17" s="47"/>
      <c r="BR17" s="27" t="e">
        <f t="shared" si="45"/>
        <v>#DIV/0!</v>
      </c>
      <c r="BS17" s="47"/>
      <c r="BT17" s="49" t="e">
        <f t="shared" ref="BT17" si="46">BT9/BS9*100</f>
        <v>#DIV/0!</v>
      </c>
      <c r="BU17" s="47"/>
      <c r="BV17" s="51">
        <f t="shared" ref="BV17:BX21" si="47">BV9/BU9*100</f>
        <v>24</v>
      </c>
      <c r="BW17" s="47"/>
      <c r="BX17" s="51">
        <f t="shared" si="47"/>
        <v>19.047619047619047</v>
      </c>
      <c r="BY17" s="47"/>
      <c r="BZ17" s="51">
        <f t="shared" ref="BZ17:BZ21" si="48">BZ9/BY9*100</f>
        <v>24.390243902439025</v>
      </c>
      <c r="CU17">
        <v>3</v>
      </c>
      <c r="CV17" s="30">
        <f t="shared" si="41"/>
        <v>13.333333333333334</v>
      </c>
      <c r="CW17" s="47"/>
      <c r="CX17" s="49">
        <f t="shared" si="42"/>
        <v>33.333333333333329</v>
      </c>
      <c r="CY17" s="47"/>
      <c r="CZ17" s="49">
        <f t="shared" si="43"/>
        <v>37.209302325581397</v>
      </c>
      <c r="DA17" s="47"/>
      <c r="DB17" s="51">
        <f t="shared" si="44"/>
        <v>31.25</v>
      </c>
      <c r="DQ17" s="94" t="s">
        <v>126</v>
      </c>
      <c r="DR17">
        <v>4.4000000000000004</v>
      </c>
      <c r="DS17">
        <v>2</v>
      </c>
      <c r="DT17">
        <v>62</v>
      </c>
      <c r="DU17">
        <v>26</v>
      </c>
      <c r="DV17">
        <f t="shared" si="1"/>
        <v>36</v>
      </c>
      <c r="DW17" s="95">
        <f t="shared" si="2"/>
        <v>41.935483870967744</v>
      </c>
      <c r="DY17" t="s">
        <v>110</v>
      </c>
      <c r="DZ17">
        <f>28.75*20*(10^4)</f>
        <v>5750000</v>
      </c>
      <c r="EA17" s="103">
        <v>5750000</v>
      </c>
      <c r="EC17">
        <f>DZ18/DZ17</f>
        <v>0.36521739130434783</v>
      </c>
      <c r="ED17" t="s">
        <v>137</v>
      </c>
    </row>
    <row r="18" spans="2:134" ht="17" thickBot="1" x14ac:dyDescent="0.25">
      <c r="P18" s="30">
        <v>8.2304526748971183E-3</v>
      </c>
      <c r="AD18" s="22">
        <f t="shared" si="39"/>
        <v>0.35595703125</v>
      </c>
      <c r="AE18" s="30">
        <v>0.94921875</v>
      </c>
      <c r="BN18" s="22">
        <f t="shared" si="40"/>
        <v>1.5925925925925926</v>
      </c>
      <c r="BO18" s="47"/>
      <c r="BP18" s="27" t="e">
        <f t="shared" si="45"/>
        <v>#DIV/0!</v>
      </c>
      <c r="BQ18" s="47"/>
      <c r="BR18" s="27" t="e">
        <f t="shared" si="45"/>
        <v>#DIV/0!</v>
      </c>
      <c r="BS18" s="47"/>
      <c r="BT18" s="49" t="e">
        <f t="shared" ref="BT18" si="49">BT10/BS10*100</f>
        <v>#DIV/0!</v>
      </c>
      <c r="BU18" s="47"/>
      <c r="BV18" s="51">
        <f t="shared" si="47"/>
        <v>29.629629629629626</v>
      </c>
      <c r="BW18" s="47"/>
      <c r="BX18" s="51">
        <f t="shared" si="47"/>
        <v>29.166666666666668</v>
      </c>
      <c r="BY18" s="47"/>
      <c r="BZ18" s="51">
        <f t="shared" si="48"/>
        <v>31.578947368421051</v>
      </c>
      <c r="CU18">
        <v>2</v>
      </c>
      <c r="CV18" s="30">
        <f t="shared" si="41"/>
        <v>40</v>
      </c>
      <c r="CW18" s="47"/>
      <c r="CX18" s="49">
        <f t="shared" si="42"/>
        <v>38.095238095238095</v>
      </c>
      <c r="CY18" s="47"/>
      <c r="CZ18" s="49">
        <f t="shared" si="43"/>
        <v>38.888888888888893</v>
      </c>
      <c r="DA18" s="47"/>
      <c r="DB18" s="51">
        <f t="shared" si="44"/>
        <v>37.288135593220339</v>
      </c>
      <c r="DF18" s="137" t="s">
        <v>127</v>
      </c>
      <c r="DG18" s="138"/>
      <c r="DH18" s="138"/>
      <c r="DI18" s="138"/>
      <c r="DJ18" s="138"/>
      <c r="DK18" s="138"/>
      <c r="DL18" s="138"/>
      <c r="DM18" s="138"/>
      <c r="DN18" s="139"/>
      <c r="DQ18" s="94" t="s">
        <v>126</v>
      </c>
      <c r="DR18">
        <v>4.4000000000000004</v>
      </c>
      <c r="DS18">
        <v>3</v>
      </c>
      <c r="DT18">
        <v>28</v>
      </c>
      <c r="DU18">
        <v>8</v>
      </c>
      <c r="DV18">
        <f t="shared" si="1"/>
        <v>20</v>
      </c>
      <c r="DW18" s="95">
        <f t="shared" si="2"/>
        <v>28.571428571428569</v>
      </c>
      <c r="DY18" t="s">
        <v>112</v>
      </c>
      <c r="DZ18">
        <f>10.5*20*(10^4)</f>
        <v>2100000</v>
      </c>
      <c r="EA18" s="103">
        <v>2100000</v>
      </c>
    </row>
    <row r="19" spans="2:134" ht="17" thickBot="1" x14ac:dyDescent="0.25">
      <c r="B19" s="115" t="s">
        <v>55</v>
      </c>
      <c r="C19" s="116"/>
      <c r="D19" s="116"/>
      <c r="E19" s="116"/>
      <c r="F19" s="116"/>
      <c r="G19" s="116"/>
      <c r="H19" s="116"/>
      <c r="I19" s="116"/>
      <c r="J19" s="116"/>
      <c r="K19" s="116"/>
      <c r="L19" s="116"/>
      <c r="M19" s="117"/>
      <c r="P19" s="30">
        <v>2.4691358024691357E-2</v>
      </c>
      <c r="AD19" s="22">
        <f t="shared" si="39"/>
        <v>0.13348388671875</v>
      </c>
      <c r="AE19" s="30">
        <v>2.53125</v>
      </c>
      <c r="AW19" t="s">
        <v>76</v>
      </c>
      <c r="BN19" s="22">
        <f t="shared" si="40"/>
        <v>4.7777777777777777</v>
      </c>
      <c r="BO19" s="47"/>
      <c r="BP19" s="27" t="e">
        <f t="shared" si="45"/>
        <v>#DIV/0!</v>
      </c>
      <c r="BQ19" s="47"/>
      <c r="BR19" s="27" t="e">
        <f t="shared" si="45"/>
        <v>#DIV/0!</v>
      </c>
      <c r="BS19" s="47"/>
      <c r="BT19" s="49" t="e">
        <f t="shared" ref="BT19" si="50">BT11/BS11*100</f>
        <v>#DIV/0!</v>
      </c>
      <c r="BU19" s="47"/>
      <c r="BV19" s="51">
        <f t="shared" si="47"/>
        <v>42.857142857142854</v>
      </c>
      <c r="BW19" s="47"/>
      <c r="BX19" s="51">
        <f t="shared" si="47"/>
        <v>26.315789473684209</v>
      </c>
      <c r="BY19" s="47"/>
      <c r="BZ19" s="51">
        <f t="shared" si="48"/>
        <v>28.35820895522388</v>
      </c>
      <c r="CU19">
        <v>1</v>
      </c>
      <c r="CV19" s="31">
        <f t="shared" si="41"/>
        <v>120</v>
      </c>
      <c r="CW19" s="48"/>
      <c r="CX19" s="52">
        <f t="shared" si="42"/>
        <v>45.454545454545453</v>
      </c>
      <c r="CY19" s="48"/>
      <c r="CZ19" s="52">
        <f t="shared" si="43"/>
        <v>31.578947368421051</v>
      </c>
      <c r="DA19" s="48"/>
      <c r="DB19" s="53">
        <f t="shared" si="44"/>
        <v>35</v>
      </c>
      <c r="DF19" s="78" t="s">
        <v>125</v>
      </c>
      <c r="DG19" s="134" t="s">
        <v>121</v>
      </c>
      <c r="DH19" s="135"/>
      <c r="DI19" s="135"/>
      <c r="DJ19" s="135"/>
      <c r="DK19" s="135"/>
      <c r="DL19" s="136"/>
      <c r="DM19" s="90" t="s">
        <v>123</v>
      </c>
      <c r="DN19" s="91" t="s">
        <v>122</v>
      </c>
      <c r="DQ19" s="94" t="s">
        <v>126</v>
      </c>
      <c r="DR19">
        <v>4.7</v>
      </c>
      <c r="DS19">
        <v>1</v>
      </c>
      <c r="DT19">
        <v>21</v>
      </c>
      <c r="DU19">
        <v>9</v>
      </c>
      <c r="DV19">
        <f t="shared" si="1"/>
        <v>12</v>
      </c>
      <c r="DW19" s="95">
        <f t="shared" si="2"/>
        <v>42.857142857142854</v>
      </c>
    </row>
    <row r="20" spans="2:134" x14ac:dyDescent="0.2">
      <c r="B20" s="6" t="s">
        <v>0</v>
      </c>
      <c r="C20" s="118" t="s">
        <v>21</v>
      </c>
      <c r="D20" s="119"/>
      <c r="E20" s="118" t="s">
        <v>22</v>
      </c>
      <c r="F20" s="119"/>
      <c r="G20" s="118" t="s">
        <v>23</v>
      </c>
      <c r="H20" s="120"/>
      <c r="I20" s="121" t="s">
        <v>15</v>
      </c>
      <c r="J20" s="122"/>
      <c r="K20" s="122"/>
      <c r="L20" s="122"/>
      <c r="M20" s="123"/>
      <c r="P20" s="30">
        <v>7.407407407407407E-2</v>
      </c>
      <c r="AD20" s="22">
        <f t="shared" si="39"/>
        <v>5.005645751953125E-2</v>
      </c>
      <c r="AE20" s="30">
        <v>6.75</v>
      </c>
      <c r="AW20" t="s">
        <v>77</v>
      </c>
      <c r="BN20" s="22">
        <f t="shared" si="40"/>
        <v>14.333333333333334</v>
      </c>
      <c r="BO20" s="47"/>
      <c r="BP20" s="27" t="e">
        <f t="shared" si="45"/>
        <v>#DIV/0!</v>
      </c>
      <c r="BQ20" s="47"/>
      <c r="BR20" s="27" t="e">
        <f t="shared" si="45"/>
        <v>#DIV/0!</v>
      </c>
      <c r="BS20" s="47"/>
      <c r="BT20" s="49" t="e">
        <f t="shared" ref="BT20" si="51">BT12/BS12*100</f>
        <v>#DIV/0!</v>
      </c>
      <c r="BU20" s="47"/>
      <c r="BV20" s="51">
        <f t="shared" si="47"/>
        <v>46.153846153846153</v>
      </c>
      <c r="BW20" s="47"/>
      <c r="BX20" s="51">
        <f t="shared" si="47"/>
        <v>34</v>
      </c>
      <c r="BY20" s="47"/>
      <c r="BZ20" s="51">
        <f t="shared" si="48"/>
        <v>36.734693877551024</v>
      </c>
      <c r="CX20" s="56"/>
      <c r="CZ20" s="56"/>
      <c r="DB20" s="56"/>
      <c r="DF20" s="79">
        <v>0</v>
      </c>
      <c r="DG20" s="81">
        <v>18.181818181818183</v>
      </c>
      <c r="DH20">
        <v>18.181818181818183</v>
      </c>
      <c r="DI20">
        <v>20</v>
      </c>
      <c r="DJ20">
        <v>56.521739130434781</v>
      </c>
      <c r="DK20">
        <v>35.294117647058826</v>
      </c>
      <c r="DL20" s="82">
        <v>38.888888888888893</v>
      </c>
      <c r="DM20" s="81">
        <f>AVERAGE(DG20:DL20)</f>
        <v>31.178063671669808</v>
      </c>
      <c r="DN20" s="82">
        <f>STDEV(DG20:DL20)</f>
        <v>15.371756651280338</v>
      </c>
      <c r="DQ20" s="94" t="s">
        <v>126</v>
      </c>
      <c r="DR20">
        <v>4.7</v>
      </c>
      <c r="DS20">
        <v>2</v>
      </c>
      <c r="DT20">
        <v>57</v>
      </c>
      <c r="DU20">
        <v>15</v>
      </c>
      <c r="DV20">
        <f t="shared" si="1"/>
        <v>42</v>
      </c>
      <c r="DW20" s="95">
        <f t="shared" si="2"/>
        <v>26.315789473684209</v>
      </c>
    </row>
    <row r="21" spans="2:134" ht="17" thickBot="1" x14ac:dyDescent="0.25">
      <c r="B21" s="1"/>
      <c r="C21" s="1" t="s">
        <v>1</v>
      </c>
      <c r="D21" s="2" t="s">
        <v>7</v>
      </c>
      <c r="E21" s="1" t="s">
        <v>2</v>
      </c>
      <c r="F21" s="2" t="s">
        <v>8</v>
      </c>
      <c r="G21" s="1" t="s">
        <v>3</v>
      </c>
      <c r="H21" s="2" t="s">
        <v>6</v>
      </c>
      <c r="I21" s="1" t="s">
        <v>4</v>
      </c>
      <c r="J21" t="s">
        <v>9</v>
      </c>
      <c r="K21" t="s">
        <v>5</v>
      </c>
      <c r="L21" t="s">
        <v>16</v>
      </c>
      <c r="M21" s="2" t="s">
        <v>17</v>
      </c>
      <c r="P21" s="30">
        <v>0.22222222222222221</v>
      </c>
      <c r="AD21" s="38">
        <v>0</v>
      </c>
      <c r="AE21" s="31">
        <v>18</v>
      </c>
      <c r="AW21" t="s">
        <v>78</v>
      </c>
      <c r="BN21" s="38">
        <f t="shared" si="40"/>
        <v>43</v>
      </c>
      <c r="BO21" s="48"/>
      <c r="BP21" s="35">
        <f t="shared" si="45"/>
        <v>34.782608695652172</v>
      </c>
      <c r="BQ21" s="48"/>
      <c r="BR21" s="35" t="e">
        <f t="shared" si="45"/>
        <v>#DIV/0!</v>
      </c>
      <c r="BS21" s="48"/>
      <c r="BT21" s="52" t="e">
        <f t="shared" ref="BT21" si="52">BT13/BS13*100</f>
        <v>#DIV/0!</v>
      </c>
      <c r="BU21" s="48"/>
      <c r="BV21" s="53">
        <f t="shared" si="47"/>
        <v>63.636363636363633</v>
      </c>
      <c r="BW21" s="48"/>
      <c r="BX21" s="53">
        <f t="shared" si="47"/>
        <v>34.782608695652172</v>
      </c>
      <c r="BY21" s="48"/>
      <c r="BZ21" s="53">
        <f t="shared" si="48"/>
        <v>36.84210526315789</v>
      </c>
      <c r="DF21" s="79">
        <v>76</v>
      </c>
      <c r="DG21" s="83"/>
      <c r="DH21" s="76"/>
      <c r="DI21" s="76"/>
      <c r="DJ21">
        <v>30.434782608695656</v>
      </c>
      <c r="DK21">
        <v>50</v>
      </c>
      <c r="DL21" s="82">
        <v>30.434782608695656</v>
      </c>
      <c r="DM21" s="81">
        <f t="shared" ref="DM21:DM28" si="53">AVERAGE(DG21:DL21)</f>
        <v>36.956521739130437</v>
      </c>
      <c r="DN21" s="82">
        <f t="shared" ref="DN21:DN28" si="54">STDEV(DG21:DL21)</f>
        <v>11.295983527623127</v>
      </c>
      <c r="DQ21" s="94" t="s">
        <v>126</v>
      </c>
      <c r="DR21">
        <v>4.7</v>
      </c>
      <c r="DS21">
        <v>3</v>
      </c>
      <c r="DT21">
        <v>67</v>
      </c>
      <c r="DU21">
        <v>19</v>
      </c>
      <c r="DV21">
        <f t="shared" si="1"/>
        <v>48</v>
      </c>
      <c r="DW21" s="95">
        <f t="shared" si="2"/>
        <v>28.35820895522388</v>
      </c>
    </row>
    <row r="22" spans="2:134" ht="17" thickBot="1" x14ac:dyDescent="0.25">
      <c r="B22" s="1">
        <f>C33</f>
        <v>1.3888888888888888</v>
      </c>
      <c r="C22" s="1">
        <v>5</v>
      </c>
      <c r="D22" s="2">
        <v>13</v>
      </c>
      <c r="E22" s="1">
        <v>5</v>
      </c>
      <c r="F22" s="2">
        <v>14</v>
      </c>
      <c r="G22" s="1">
        <v>11</v>
      </c>
      <c r="H22" s="2">
        <v>15</v>
      </c>
      <c r="I22" s="1">
        <f>C22+E22+G22</f>
        <v>21</v>
      </c>
      <c r="J22">
        <f>D22+F22+H22</f>
        <v>42</v>
      </c>
      <c r="K22">
        <f>C22+D22+E22+F22+G22+H22</f>
        <v>63</v>
      </c>
      <c r="L22">
        <f>I22/K22*100</f>
        <v>33.333333333333329</v>
      </c>
      <c r="M22" s="2">
        <f t="shared" ref="M22:M31" si="55">J22/K22*100</f>
        <v>66.666666666666657</v>
      </c>
      <c r="P22" s="30">
        <v>0.66666666666666663</v>
      </c>
      <c r="AW22" t="s">
        <v>79</v>
      </c>
      <c r="CW22">
        <v>1</v>
      </c>
      <c r="CY22">
        <v>2</v>
      </c>
      <c r="DA22">
        <v>3</v>
      </c>
      <c r="DF22" s="79">
        <v>78</v>
      </c>
      <c r="DG22" s="81">
        <v>21.052631578947366</v>
      </c>
      <c r="DH22">
        <v>25</v>
      </c>
      <c r="DI22">
        <v>30.434782608695656</v>
      </c>
      <c r="DJ22" s="76"/>
      <c r="DK22" s="76"/>
      <c r="DL22" s="85"/>
      <c r="DM22" s="81">
        <f t="shared" si="53"/>
        <v>25.495804729214342</v>
      </c>
      <c r="DN22" s="82">
        <f t="shared" si="54"/>
        <v>4.7106853252350893</v>
      </c>
      <c r="DQ22" s="94" t="s">
        <v>126</v>
      </c>
      <c r="DR22">
        <v>13</v>
      </c>
      <c r="DS22">
        <v>1</v>
      </c>
      <c r="DT22">
        <v>15</v>
      </c>
      <c r="DU22">
        <v>5</v>
      </c>
      <c r="DV22">
        <f t="shared" si="1"/>
        <v>10</v>
      </c>
      <c r="DW22" s="95">
        <f t="shared" si="2"/>
        <v>33.333333333333329</v>
      </c>
    </row>
    <row r="23" spans="2:134" ht="17" thickBot="1" x14ac:dyDescent="0.25">
      <c r="B23" s="1">
        <f>6*B22/18</f>
        <v>0.46296296296296291</v>
      </c>
      <c r="C23" s="1">
        <v>2</v>
      </c>
      <c r="D23" s="2">
        <v>3</v>
      </c>
      <c r="E23" s="1">
        <v>5</v>
      </c>
      <c r="F23" s="2">
        <v>10</v>
      </c>
      <c r="G23" s="1">
        <v>7</v>
      </c>
      <c r="H23" s="2">
        <v>19</v>
      </c>
      <c r="I23" s="1">
        <f t="shared" ref="I23" si="56">C23+E23+G23</f>
        <v>14</v>
      </c>
      <c r="J23">
        <f t="shared" ref="J23:J30" si="57">D23+F23+H23</f>
        <v>32</v>
      </c>
      <c r="K23">
        <f t="shared" ref="K23:K30" si="58">C23+D23+E23+F23+G23+H23</f>
        <v>46</v>
      </c>
      <c r="L23">
        <f t="shared" ref="L23:L31" si="59">I23/K23*100</f>
        <v>30.434782608695656</v>
      </c>
      <c r="M23" s="2">
        <f t="shared" si="55"/>
        <v>69.565217391304344</v>
      </c>
      <c r="P23" s="31">
        <v>2</v>
      </c>
      <c r="BO23" t="s">
        <v>88</v>
      </c>
      <c r="CS23" t="s">
        <v>119</v>
      </c>
      <c r="CW23" s="45" t="s">
        <v>99</v>
      </c>
      <c r="CX23" s="54"/>
      <c r="CY23" s="45" t="s">
        <v>99</v>
      </c>
      <c r="CZ23" s="54"/>
      <c r="DA23" s="45" t="s">
        <v>99</v>
      </c>
      <c r="DB23" s="54"/>
      <c r="DF23" s="79">
        <v>227</v>
      </c>
      <c r="DG23" s="83"/>
      <c r="DH23" s="76"/>
      <c r="DI23" s="76"/>
      <c r="DJ23">
        <v>40</v>
      </c>
      <c r="DK23">
        <v>42.307692307692307</v>
      </c>
      <c r="DL23" s="82">
        <v>38.461538461538467</v>
      </c>
      <c r="DM23" s="81">
        <f t="shared" si="53"/>
        <v>40.256410256410255</v>
      </c>
      <c r="DN23" s="82">
        <f t="shared" si="54"/>
        <v>1.9358549834027532</v>
      </c>
      <c r="DQ23" s="94" t="s">
        <v>126</v>
      </c>
      <c r="DR23">
        <v>13</v>
      </c>
      <c r="DS23">
        <v>2</v>
      </c>
      <c r="DT23">
        <v>43</v>
      </c>
      <c r="DU23">
        <v>16</v>
      </c>
      <c r="DV23">
        <f t="shared" si="1"/>
        <v>27</v>
      </c>
      <c r="DW23" s="95">
        <f t="shared" si="2"/>
        <v>37.209302325581397</v>
      </c>
    </row>
    <row r="24" spans="2:134" x14ac:dyDescent="0.2">
      <c r="B24" s="1">
        <f>6*B23/18</f>
        <v>0.15432098765432098</v>
      </c>
      <c r="C24" s="1">
        <v>0</v>
      </c>
      <c r="D24" s="2">
        <v>2</v>
      </c>
      <c r="E24" s="1">
        <v>0</v>
      </c>
      <c r="F24" s="2">
        <v>2</v>
      </c>
      <c r="G24" s="1">
        <v>1</v>
      </c>
      <c r="H24" s="2">
        <v>4</v>
      </c>
      <c r="I24" s="1">
        <f>C24+E24+G24</f>
        <v>1</v>
      </c>
      <c r="J24">
        <f t="shared" si="57"/>
        <v>8</v>
      </c>
      <c r="K24">
        <f t="shared" si="58"/>
        <v>9</v>
      </c>
      <c r="L24">
        <f t="shared" si="59"/>
        <v>11.111111111111111</v>
      </c>
      <c r="M24" s="2">
        <f t="shared" si="55"/>
        <v>88.888888888888886</v>
      </c>
      <c r="BO24" t="s">
        <v>89</v>
      </c>
      <c r="CQ24">
        <f>40.7-2.7</f>
        <v>38</v>
      </c>
      <c r="CV24" s="43" t="s">
        <v>65</v>
      </c>
      <c r="CW24" s="22" t="s">
        <v>20</v>
      </c>
      <c r="CX24" s="27" t="s">
        <v>25</v>
      </c>
      <c r="CY24" s="22" t="s">
        <v>20</v>
      </c>
      <c r="CZ24" s="27" t="s">
        <v>25</v>
      </c>
      <c r="DA24" s="22" t="s">
        <v>20</v>
      </c>
      <c r="DB24" s="27" t="s">
        <v>25</v>
      </c>
      <c r="DF24" s="79">
        <v>235</v>
      </c>
      <c r="DG24" s="81">
        <v>35</v>
      </c>
      <c r="DH24">
        <v>31.818181818181817</v>
      </c>
      <c r="DI24">
        <v>25</v>
      </c>
      <c r="DJ24" s="76"/>
      <c r="DK24" s="76"/>
      <c r="DL24" s="85"/>
      <c r="DM24" s="81">
        <f t="shared" si="53"/>
        <v>30.606060606060606</v>
      </c>
      <c r="DN24" s="82">
        <f t="shared" si="54"/>
        <v>5.1090046363901385</v>
      </c>
      <c r="DQ24" s="94" t="s">
        <v>126</v>
      </c>
      <c r="DR24">
        <v>13</v>
      </c>
      <c r="DS24">
        <v>3</v>
      </c>
      <c r="DT24">
        <v>64</v>
      </c>
      <c r="DU24">
        <v>20</v>
      </c>
      <c r="DV24">
        <f t="shared" si="1"/>
        <v>44</v>
      </c>
      <c r="DW24" s="95">
        <f t="shared" si="2"/>
        <v>31.25</v>
      </c>
    </row>
    <row r="25" spans="2:134" x14ac:dyDescent="0.2">
      <c r="B25" s="1">
        <f t="shared" ref="B25:B30" si="60">6*B24/18</f>
        <v>5.1440329218106991E-2</v>
      </c>
      <c r="C25" s="1">
        <v>5</v>
      </c>
      <c r="D25" s="2">
        <v>6</v>
      </c>
      <c r="E25" s="1">
        <v>1</v>
      </c>
      <c r="F25" s="2">
        <v>2</v>
      </c>
      <c r="G25" s="1">
        <v>0</v>
      </c>
      <c r="H25" s="2">
        <v>3</v>
      </c>
      <c r="I25" s="1">
        <f t="shared" ref="I25:I31" si="61">C25+E25+G25</f>
        <v>6</v>
      </c>
      <c r="J25">
        <f t="shared" si="57"/>
        <v>11</v>
      </c>
      <c r="K25">
        <f t="shared" si="58"/>
        <v>17</v>
      </c>
      <c r="L25">
        <f t="shared" si="59"/>
        <v>35.294117647058826</v>
      </c>
      <c r="M25" s="2">
        <f t="shared" si="55"/>
        <v>64.705882352941174</v>
      </c>
      <c r="CU25" s="55" t="s">
        <v>97</v>
      </c>
      <c r="CV25" s="30">
        <f>CT27</f>
        <v>0</v>
      </c>
      <c r="CW25" s="22">
        <v>22</v>
      </c>
      <c r="CX25" s="27">
        <v>4</v>
      </c>
      <c r="CY25" s="22">
        <v>22</v>
      </c>
      <c r="CZ25" s="27">
        <v>4</v>
      </c>
      <c r="DA25" s="22">
        <v>20</v>
      </c>
      <c r="DB25" s="27">
        <v>4</v>
      </c>
      <c r="DF25" s="79">
        <v>680</v>
      </c>
      <c r="DG25" s="83"/>
      <c r="DH25" s="76"/>
      <c r="DI25" s="76"/>
      <c r="DJ25">
        <v>54.054054054054056</v>
      </c>
      <c r="DK25">
        <v>46.428571428571431</v>
      </c>
      <c r="DL25" s="82">
        <v>25</v>
      </c>
      <c r="DM25" s="81">
        <f t="shared" si="53"/>
        <v>41.827541827541829</v>
      </c>
      <c r="DN25" s="82">
        <f t="shared" si="54"/>
        <v>15.063585870772505</v>
      </c>
      <c r="DQ25" s="94" t="s">
        <v>126</v>
      </c>
      <c r="DR25">
        <v>14</v>
      </c>
      <c r="DS25">
        <v>1</v>
      </c>
      <c r="DT25">
        <v>13</v>
      </c>
      <c r="DU25">
        <v>6</v>
      </c>
      <c r="DV25">
        <f t="shared" si="1"/>
        <v>7</v>
      </c>
      <c r="DW25" s="95">
        <f t="shared" si="2"/>
        <v>46.153846153846153</v>
      </c>
    </row>
    <row r="26" spans="2:134" x14ac:dyDescent="0.2">
      <c r="B26" s="1">
        <f t="shared" si="60"/>
        <v>1.7146776406035666E-2</v>
      </c>
      <c r="C26" s="1">
        <v>3</v>
      </c>
      <c r="D26" s="2">
        <v>4</v>
      </c>
      <c r="E26" s="1">
        <v>7</v>
      </c>
      <c r="F26" s="2">
        <v>7</v>
      </c>
      <c r="G26" s="1">
        <v>3</v>
      </c>
      <c r="H26" s="2">
        <v>8</v>
      </c>
      <c r="I26" s="1">
        <f t="shared" si="61"/>
        <v>13</v>
      </c>
      <c r="J26">
        <f t="shared" si="57"/>
        <v>19</v>
      </c>
      <c r="K26">
        <f t="shared" si="58"/>
        <v>32</v>
      </c>
      <c r="L26">
        <f t="shared" si="59"/>
        <v>40.625</v>
      </c>
      <c r="M26" s="2">
        <f t="shared" si="55"/>
        <v>59.375</v>
      </c>
      <c r="AX26" t="s">
        <v>80</v>
      </c>
      <c r="CU26">
        <v>4</v>
      </c>
      <c r="CV26" s="30">
        <f t="shared" ref="CV26:CV29" si="62">CT28</f>
        <v>7.8189300411522639E-2</v>
      </c>
      <c r="CW26" s="22">
        <v>19</v>
      </c>
      <c r="CX26" s="27">
        <v>4</v>
      </c>
      <c r="CY26" s="22">
        <v>16</v>
      </c>
      <c r="CZ26" s="27">
        <v>4</v>
      </c>
      <c r="DA26" s="22">
        <v>23</v>
      </c>
      <c r="DB26" s="27">
        <v>7</v>
      </c>
      <c r="DF26" s="79">
        <v>704</v>
      </c>
      <c r="DG26" s="81">
        <v>44.444444444444443</v>
      </c>
      <c r="DH26">
        <v>36.84210526315789</v>
      </c>
      <c r="DI26">
        <v>40</v>
      </c>
      <c r="DJ26" s="76"/>
      <c r="DK26" s="76"/>
      <c r="DL26" s="85"/>
      <c r="DM26" s="81">
        <f t="shared" si="53"/>
        <v>40.428849902534111</v>
      </c>
      <c r="DN26" s="82">
        <f t="shared" si="54"/>
        <v>3.8192701444135646</v>
      </c>
      <c r="DQ26" s="94" t="s">
        <v>126</v>
      </c>
      <c r="DR26">
        <v>14</v>
      </c>
      <c r="DS26">
        <v>2</v>
      </c>
      <c r="DT26">
        <v>50</v>
      </c>
      <c r="DU26">
        <v>17</v>
      </c>
      <c r="DV26">
        <f t="shared" si="1"/>
        <v>33</v>
      </c>
      <c r="DW26" s="95">
        <f t="shared" si="2"/>
        <v>34</v>
      </c>
    </row>
    <row r="27" spans="2:134" ht="17" thickBot="1" x14ac:dyDescent="0.25">
      <c r="B27" s="9">
        <f t="shared" si="60"/>
        <v>5.7155921353452223E-3</v>
      </c>
      <c r="C27" s="9">
        <v>0</v>
      </c>
      <c r="D27" s="10">
        <v>1</v>
      </c>
      <c r="E27" s="9">
        <v>0</v>
      </c>
      <c r="F27" s="10">
        <v>1</v>
      </c>
      <c r="G27" s="9">
        <v>3</v>
      </c>
      <c r="H27" s="10">
        <v>2</v>
      </c>
      <c r="I27" s="9">
        <f t="shared" si="61"/>
        <v>3</v>
      </c>
      <c r="J27" s="12">
        <f t="shared" si="57"/>
        <v>4</v>
      </c>
      <c r="K27" s="12">
        <f t="shared" si="58"/>
        <v>7</v>
      </c>
      <c r="L27" s="12">
        <f t="shared" si="59"/>
        <v>42.857142857142854</v>
      </c>
      <c r="M27" s="10">
        <f t="shared" si="55"/>
        <v>57.142857142857139</v>
      </c>
      <c r="BM27" t="s">
        <v>91</v>
      </c>
      <c r="BV27" t="s">
        <v>92</v>
      </c>
      <c r="CE27" t="s">
        <v>93</v>
      </c>
      <c r="CS27" s="30">
        <f>CQ24/18</f>
        <v>2.1111111111111112</v>
      </c>
      <c r="CT27" cm="1">
        <f t="array" ref="CT27:CT31">_xlfn.SORTBY(CS27:CS31,ROW(CS27:CS31),-1)</f>
        <v>0</v>
      </c>
      <c r="CU27">
        <v>3</v>
      </c>
      <c r="CV27" s="30">
        <f t="shared" si="62"/>
        <v>0.23456790123456792</v>
      </c>
      <c r="CW27" s="22">
        <v>20</v>
      </c>
      <c r="CX27" s="27">
        <v>7</v>
      </c>
      <c r="CY27" s="22">
        <v>22</v>
      </c>
      <c r="CZ27" s="27">
        <v>7</v>
      </c>
      <c r="DA27" s="22">
        <v>28</v>
      </c>
      <c r="DB27" s="27">
        <v>7</v>
      </c>
      <c r="DF27" s="79">
        <v>2049</v>
      </c>
      <c r="DG27" s="83"/>
      <c r="DH27" s="76"/>
      <c r="DI27" s="76"/>
      <c r="DJ27">
        <v>37.5</v>
      </c>
      <c r="DK27">
        <v>44.444444444444443</v>
      </c>
      <c r="DL27" s="82">
        <v>50</v>
      </c>
      <c r="DM27" s="81">
        <f t="shared" si="53"/>
        <v>43.981481481481488</v>
      </c>
      <c r="DN27" s="82">
        <f t="shared" si="54"/>
        <v>6.2628468789206648</v>
      </c>
      <c r="DQ27" s="94" t="s">
        <v>126</v>
      </c>
      <c r="DR27">
        <v>14</v>
      </c>
      <c r="DS27">
        <v>3</v>
      </c>
      <c r="DT27">
        <v>49</v>
      </c>
      <c r="DU27">
        <v>18</v>
      </c>
      <c r="DV27">
        <f t="shared" si="1"/>
        <v>31</v>
      </c>
      <c r="DW27" s="95">
        <f t="shared" si="2"/>
        <v>36.734693877551024</v>
      </c>
    </row>
    <row r="28" spans="2:134" ht="17" thickBot="1" x14ac:dyDescent="0.25">
      <c r="B28" s="1">
        <f t="shared" si="60"/>
        <v>1.9051973784484073E-3</v>
      </c>
      <c r="C28" s="1">
        <v>16</v>
      </c>
      <c r="D28" s="2">
        <v>10</v>
      </c>
      <c r="E28" s="1">
        <v>1</v>
      </c>
      <c r="F28" s="2">
        <v>1</v>
      </c>
      <c r="G28" s="1">
        <v>0</v>
      </c>
      <c r="H28" s="2">
        <v>2</v>
      </c>
      <c r="I28" s="1">
        <f t="shared" si="61"/>
        <v>17</v>
      </c>
      <c r="J28">
        <f t="shared" si="57"/>
        <v>13</v>
      </c>
      <c r="K28">
        <f t="shared" si="58"/>
        <v>30</v>
      </c>
      <c r="L28">
        <f t="shared" si="59"/>
        <v>56.666666666666664</v>
      </c>
      <c r="M28" s="2">
        <f t="shared" si="55"/>
        <v>43.333333333333336</v>
      </c>
      <c r="AD28" t="s">
        <v>57</v>
      </c>
      <c r="AG28" t="s">
        <v>102</v>
      </c>
      <c r="AX28" s="39" cm="1">
        <f t="array" ref="AX28:AX31">_xlfn.SORTBY(AW14:AW17,ROW(AW14:AW17),-1)</f>
        <v>0</v>
      </c>
      <c r="AY28" s="39" cm="1">
        <f t="array" ref="AY28:AY31">_xlfn.SORTBY(BC14:BC17,ROW(BC14:BC17),-1)</f>
        <v>10</v>
      </c>
      <c r="BM28" t="s">
        <v>24</v>
      </c>
      <c r="BN28" t="s">
        <v>26</v>
      </c>
      <c r="BO28" t="s">
        <v>20</v>
      </c>
      <c r="BP28" t="s">
        <v>25</v>
      </c>
      <c r="BQ28" t="s">
        <v>17</v>
      </c>
      <c r="BR28" t="s">
        <v>28</v>
      </c>
      <c r="BS28" t="s">
        <v>29</v>
      </c>
      <c r="BT28" t="s">
        <v>30</v>
      </c>
      <c r="BV28" t="s">
        <v>24</v>
      </c>
      <c r="BW28" t="s">
        <v>26</v>
      </c>
      <c r="BX28" t="s">
        <v>20</v>
      </c>
      <c r="BY28" t="s">
        <v>25</v>
      </c>
      <c r="BZ28" t="s">
        <v>17</v>
      </c>
      <c r="CA28" t="s">
        <v>28</v>
      </c>
      <c r="CB28" t="s">
        <v>29</v>
      </c>
      <c r="CC28" t="s">
        <v>30</v>
      </c>
      <c r="CE28" t="s">
        <v>24</v>
      </c>
      <c r="CF28" t="s">
        <v>26</v>
      </c>
      <c r="CG28" t="s">
        <v>20</v>
      </c>
      <c r="CH28" t="s">
        <v>25</v>
      </c>
      <c r="CI28" t="s">
        <v>17</v>
      </c>
      <c r="CJ28" t="s">
        <v>28</v>
      </c>
      <c r="CK28" t="s">
        <v>29</v>
      </c>
      <c r="CL28" t="s">
        <v>30</v>
      </c>
      <c r="CS28" s="30">
        <f t="shared" ref="CS28:CS30" si="63">8*CS27/24</f>
        <v>0.70370370370370372</v>
      </c>
      <c r="CT28">
        <v>7.8189300411522639E-2</v>
      </c>
      <c r="CU28">
        <v>2</v>
      </c>
      <c r="CV28" s="30">
        <f t="shared" si="62"/>
        <v>0.70370370370370372</v>
      </c>
      <c r="CW28" s="22">
        <v>18</v>
      </c>
      <c r="CX28" s="27">
        <v>8</v>
      </c>
      <c r="CY28" s="22">
        <v>19</v>
      </c>
      <c r="CZ28" s="27">
        <v>7</v>
      </c>
      <c r="DA28" s="22">
        <v>35</v>
      </c>
      <c r="DB28" s="27">
        <v>14</v>
      </c>
      <c r="DF28" s="80">
        <v>2111</v>
      </c>
      <c r="DG28" s="86">
        <v>57.142857142857139</v>
      </c>
      <c r="DH28" s="87">
        <v>44.444444444444443</v>
      </c>
      <c r="DI28" s="87">
        <v>42.857142857142854</v>
      </c>
      <c r="DJ28" s="88"/>
      <c r="DK28" s="88"/>
      <c r="DL28" s="89"/>
      <c r="DM28" s="86">
        <f t="shared" si="53"/>
        <v>48.148148148148145</v>
      </c>
      <c r="DN28" s="92">
        <f t="shared" si="54"/>
        <v>7.8299727973274296</v>
      </c>
      <c r="DQ28" s="94" t="s">
        <v>126</v>
      </c>
      <c r="DR28">
        <v>40</v>
      </c>
      <c r="DS28">
        <v>1</v>
      </c>
      <c r="DT28">
        <v>21</v>
      </c>
      <c r="DU28">
        <v>8</v>
      </c>
      <c r="DV28">
        <f t="shared" si="1"/>
        <v>13</v>
      </c>
      <c r="DW28" s="95">
        <f t="shared" si="2"/>
        <v>38.095238095238095</v>
      </c>
    </row>
    <row r="29" spans="2:134" ht="17" thickBot="1" x14ac:dyDescent="0.25">
      <c r="B29" s="1">
        <f t="shared" si="60"/>
        <v>6.3506579281613585E-4</v>
      </c>
      <c r="C29" s="1">
        <v>3</v>
      </c>
      <c r="D29" s="2">
        <v>2</v>
      </c>
      <c r="E29" s="1">
        <v>7</v>
      </c>
      <c r="F29" s="2">
        <v>3</v>
      </c>
      <c r="G29" s="1">
        <v>11</v>
      </c>
      <c r="H29" s="2">
        <v>8</v>
      </c>
      <c r="I29" s="1">
        <f t="shared" si="61"/>
        <v>21</v>
      </c>
      <c r="J29">
        <f t="shared" si="57"/>
        <v>13</v>
      </c>
      <c r="K29">
        <f t="shared" si="58"/>
        <v>34</v>
      </c>
      <c r="L29">
        <f t="shared" si="59"/>
        <v>61.764705882352942</v>
      </c>
      <c r="M29" s="2">
        <f t="shared" si="55"/>
        <v>38.235294117647058</v>
      </c>
      <c r="AD29" t="s">
        <v>103</v>
      </c>
      <c r="AX29">
        <v>10.588235294117647</v>
      </c>
      <c r="AY29" s="46">
        <v>42.105263157894733</v>
      </c>
      <c r="BN29">
        <f>BN8</f>
        <v>0</v>
      </c>
      <c r="BO29">
        <f>BU8</f>
        <v>30</v>
      </c>
      <c r="BP29">
        <f>BV8</f>
        <v>2</v>
      </c>
      <c r="BQ29">
        <f>BP29/BO29*100</f>
        <v>6.666666666666667</v>
      </c>
      <c r="BR29">
        <f>(BP29+0.5)/(BO29+1)</f>
        <v>8.0645161290322578E-2</v>
      </c>
      <c r="BS29" t="e">
        <f>LOG10(BN29)</f>
        <v>#NUM!</v>
      </c>
      <c r="BT29">
        <f>_xlfn.NORM.S.INV(BR29)+5</f>
        <v>3.5992549388694228</v>
      </c>
      <c r="BW29">
        <f>BN29</f>
        <v>0</v>
      </c>
      <c r="BX29">
        <f>BW8</f>
        <v>35</v>
      </c>
      <c r="BY29">
        <f>BX8</f>
        <v>8</v>
      </c>
      <c r="BZ29">
        <f>BY29/BX29*100</f>
        <v>22.857142857142858</v>
      </c>
      <c r="CA29">
        <f>(BY29+0.5)/(BX29+1)</f>
        <v>0.2361111111111111</v>
      </c>
      <c r="CB29" t="e">
        <f>LOG10(BW29)</f>
        <v>#NUM!</v>
      </c>
      <c r="CC29">
        <f>_xlfn.NORM.S.INV(CA29)+5</f>
        <v>4.2811319471772844</v>
      </c>
      <c r="CF29">
        <f>BW29</f>
        <v>0</v>
      </c>
      <c r="CG29">
        <f>BY8</f>
        <v>35</v>
      </c>
      <c r="CH29">
        <f>BZ8</f>
        <v>7</v>
      </c>
      <c r="CI29">
        <f>CH29/CG29*100</f>
        <v>20</v>
      </c>
      <c r="CJ29">
        <f>(CH29+0.5)/(CG29+1)</f>
        <v>0.20833333333333334</v>
      </c>
      <c r="CK29" t="e">
        <f>LOG10(CF29)</f>
        <v>#NUM!</v>
      </c>
      <c r="CL29">
        <f>_xlfn.NORM.S.INV(CJ29)+5</f>
        <v>4.1877821985000878</v>
      </c>
      <c r="CS29" s="30">
        <f t="shared" si="63"/>
        <v>0.23456790123456792</v>
      </c>
      <c r="CT29">
        <v>0.23456790123456792</v>
      </c>
      <c r="CU29">
        <v>1</v>
      </c>
      <c r="CV29" s="31">
        <f t="shared" si="62"/>
        <v>2.1111111111111112</v>
      </c>
      <c r="CW29" s="38">
        <v>21</v>
      </c>
      <c r="CX29" s="35">
        <v>12</v>
      </c>
      <c r="CY29" s="38">
        <v>18</v>
      </c>
      <c r="CZ29" s="35">
        <v>8</v>
      </c>
      <c r="DA29" s="38">
        <v>21</v>
      </c>
      <c r="DB29" s="35">
        <v>9</v>
      </c>
      <c r="DQ29" s="94" t="s">
        <v>126</v>
      </c>
      <c r="DR29">
        <v>40</v>
      </c>
      <c r="DS29">
        <v>2</v>
      </c>
      <c r="DT29">
        <v>54</v>
      </c>
      <c r="DU29">
        <v>21</v>
      </c>
      <c r="DV29">
        <f t="shared" si="1"/>
        <v>33</v>
      </c>
      <c r="DW29" s="95">
        <f t="shared" si="2"/>
        <v>38.888888888888893</v>
      </c>
    </row>
    <row r="30" spans="2:134" ht="17" thickBot="1" x14ac:dyDescent="0.25">
      <c r="B30" s="1">
        <f t="shared" si="60"/>
        <v>2.1168859760537862E-4</v>
      </c>
      <c r="C30" s="1">
        <v>2</v>
      </c>
      <c r="D30" s="2">
        <v>0</v>
      </c>
      <c r="E30" s="1">
        <v>3</v>
      </c>
      <c r="F30" s="2">
        <v>1</v>
      </c>
      <c r="G30" s="1">
        <v>5</v>
      </c>
      <c r="H30" s="2">
        <v>0</v>
      </c>
      <c r="I30" s="1">
        <f t="shared" si="61"/>
        <v>10</v>
      </c>
      <c r="J30">
        <f t="shared" si="57"/>
        <v>1</v>
      </c>
      <c r="K30">
        <f t="shared" si="58"/>
        <v>11</v>
      </c>
      <c r="L30">
        <f t="shared" si="59"/>
        <v>90.909090909090907</v>
      </c>
      <c r="M30" s="2">
        <f t="shared" si="55"/>
        <v>9.0909090909090917</v>
      </c>
      <c r="AX30">
        <v>31.764705882352942</v>
      </c>
      <c r="AY30">
        <v>62.5</v>
      </c>
      <c r="BN30">
        <f t="shared" ref="BN30:BN34" si="64">BN9</f>
        <v>0.53086419753086422</v>
      </c>
      <c r="BO30">
        <f t="shared" ref="BO30:BO34" si="65">BU9</f>
        <v>25</v>
      </c>
      <c r="BP30">
        <f t="shared" ref="BP30:BP34" si="66">BV9</f>
        <v>6</v>
      </c>
      <c r="BQ30">
        <f t="shared" ref="BQ30:BQ34" si="67">BP30/BO30*100</f>
        <v>24</v>
      </c>
      <c r="BR30">
        <f t="shared" ref="BR30:BR34" si="68">(BP30+0.5)/(BO30+1)</f>
        <v>0.25</v>
      </c>
      <c r="BS30">
        <f t="shared" ref="BS30:BS34" si="69">LOG10(BN30)</f>
        <v>-0.27501656329906321</v>
      </c>
      <c r="BT30">
        <f t="shared" ref="BT30:BT34" si="70">_xlfn.NORM.S.INV(BR30)+5</f>
        <v>4.3255102498039184</v>
      </c>
      <c r="BW30">
        <f t="shared" ref="BW30:BW34" si="71">BN30</f>
        <v>0.53086419753086422</v>
      </c>
      <c r="BX30">
        <f t="shared" ref="BX30:BY34" si="72">BW9</f>
        <v>21</v>
      </c>
      <c r="BY30">
        <f t="shared" si="72"/>
        <v>4</v>
      </c>
      <c r="BZ30">
        <f t="shared" ref="BZ30:BZ34" si="73">BY30/BX30*100</f>
        <v>19.047619047619047</v>
      </c>
      <c r="CA30">
        <f t="shared" ref="CA30:CA34" si="74">(BY30+0.5)/(BX30+1)</f>
        <v>0.20454545454545456</v>
      </c>
      <c r="CB30">
        <f t="shared" ref="CB30:CB34" si="75">LOG10(BW30)</f>
        <v>-0.27501656329906321</v>
      </c>
      <c r="CC30">
        <f t="shared" ref="CC30:CC34" si="76">_xlfn.NORM.S.INV(CA30)+5</f>
        <v>4.1745055090707641</v>
      </c>
      <c r="CF30">
        <f t="shared" ref="CF30:CF34" si="77">BW30</f>
        <v>0.53086419753086422</v>
      </c>
      <c r="CG30">
        <f t="shared" ref="CG30:CG34" si="78">BY9</f>
        <v>41</v>
      </c>
      <c r="CH30">
        <f t="shared" ref="CH30:CH34" si="79">BZ9</f>
        <v>10</v>
      </c>
      <c r="CI30">
        <f t="shared" ref="CI30:CI34" si="80">CH30/CG30*100</f>
        <v>24.390243902439025</v>
      </c>
      <c r="CJ30">
        <f t="shared" ref="CJ30:CJ34" si="81">(CH30+0.5)/(CG30+1)</f>
        <v>0.25</v>
      </c>
      <c r="CK30">
        <f t="shared" ref="CK30:CK34" si="82">LOG10(CF30)</f>
        <v>-0.27501656329906321</v>
      </c>
      <c r="CL30">
        <f t="shared" ref="CL30:CL34" si="83">_xlfn.NORM.S.INV(CJ30)+5</f>
        <v>4.3255102498039184</v>
      </c>
      <c r="CS30" s="30">
        <f t="shared" si="63"/>
        <v>7.8189300411522639E-2</v>
      </c>
      <c r="CT30">
        <v>0.70370370370370372</v>
      </c>
      <c r="DQ30" s="94" t="s">
        <v>126</v>
      </c>
      <c r="DR30">
        <v>40</v>
      </c>
      <c r="DS30">
        <v>3</v>
      </c>
      <c r="DT30">
        <v>59</v>
      </c>
      <c r="DU30">
        <v>22</v>
      </c>
      <c r="DV30">
        <f t="shared" si="1"/>
        <v>37</v>
      </c>
      <c r="DW30" s="95">
        <f t="shared" si="2"/>
        <v>37.288135593220339</v>
      </c>
    </row>
    <row r="31" spans="2:134" ht="17" thickBot="1" x14ac:dyDescent="0.25">
      <c r="B31" s="3">
        <v>0</v>
      </c>
      <c r="C31" s="3">
        <v>9</v>
      </c>
      <c r="D31" s="5">
        <v>4</v>
      </c>
      <c r="E31" s="3">
        <v>8</v>
      </c>
      <c r="F31" s="5">
        <v>2</v>
      </c>
      <c r="G31" s="3">
        <v>9</v>
      </c>
      <c r="H31" s="5">
        <v>4</v>
      </c>
      <c r="I31" s="3">
        <f t="shared" si="61"/>
        <v>26</v>
      </c>
      <c r="J31" s="4">
        <f t="shared" ref="J31" si="84">D31+F31+H31</f>
        <v>10</v>
      </c>
      <c r="K31" s="4">
        <f t="shared" ref="K31" si="85">C31+D31+E31+F31+G31+H31</f>
        <v>36</v>
      </c>
      <c r="L31" s="4">
        <f t="shared" si="59"/>
        <v>72.222222222222214</v>
      </c>
      <c r="M31" s="5">
        <f t="shared" si="55"/>
        <v>27.777777777777779</v>
      </c>
      <c r="AX31">
        <v>95.294117647058826</v>
      </c>
      <c r="AY31">
        <v>72.727272727272734</v>
      </c>
      <c r="BN31">
        <f t="shared" si="64"/>
        <v>1.5925925925925926</v>
      </c>
      <c r="BO31">
        <f t="shared" si="65"/>
        <v>27</v>
      </c>
      <c r="BP31">
        <f t="shared" si="66"/>
        <v>8</v>
      </c>
      <c r="BQ31">
        <f t="shared" si="67"/>
        <v>29.629629629629626</v>
      </c>
      <c r="BR31">
        <f t="shared" si="68"/>
        <v>0.30357142857142855</v>
      </c>
      <c r="BS31">
        <f t="shared" si="69"/>
        <v>0.2021046914205992</v>
      </c>
      <c r="BT31">
        <f t="shared" si="70"/>
        <v>4.4858438992554657</v>
      </c>
      <c r="BW31">
        <f t="shared" si="71"/>
        <v>1.5925925925925926</v>
      </c>
      <c r="BX31">
        <f t="shared" si="72"/>
        <v>24</v>
      </c>
      <c r="BY31">
        <f t="shared" si="72"/>
        <v>7</v>
      </c>
      <c r="BZ31">
        <f t="shared" si="73"/>
        <v>29.166666666666668</v>
      </c>
      <c r="CA31">
        <f t="shared" si="74"/>
        <v>0.3</v>
      </c>
      <c r="CB31">
        <f t="shared" si="75"/>
        <v>0.2021046914205992</v>
      </c>
      <c r="CC31">
        <f t="shared" si="76"/>
        <v>4.4755994872919587</v>
      </c>
      <c r="CF31">
        <f t="shared" si="77"/>
        <v>1.5925925925925926</v>
      </c>
      <c r="CG31">
        <f t="shared" si="78"/>
        <v>38</v>
      </c>
      <c r="CH31">
        <f t="shared" si="79"/>
        <v>12</v>
      </c>
      <c r="CI31">
        <f t="shared" si="80"/>
        <v>31.578947368421051</v>
      </c>
      <c r="CJ31">
        <f t="shared" si="81"/>
        <v>0.32051282051282054</v>
      </c>
      <c r="CK31">
        <f t="shared" si="82"/>
        <v>0.2021046914205992</v>
      </c>
      <c r="CL31">
        <f t="shared" si="83"/>
        <v>4.5337347386293638</v>
      </c>
      <c r="CS31">
        <v>0</v>
      </c>
      <c r="CT31">
        <v>2.1111111111111112</v>
      </c>
      <c r="CW31" s="106" t="s">
        <v>98</v>
      </c>
      <c r="CX31" s="107"/>
      <c r="CY31" s="107"/>
      <c r="CZ31" s="107"/>
      <c r="DA31" s="107"/>
      <c r="DB31" s="108"/>
      <c r="DQ31" s="94" t="s">
        <v>126</v>
      </c>
      <c r="DR31">
        <v>43</v>
      </c>
      <c r="DS31">
        <v>1</v>
      </c>
      <c r="DT31">
        <v>11</v>
      </c>
      <c r="DU31">
        <v>7</v>
      </c>
      <c r="DV31">
        <f t="shared" si="1"/>
        <v>4</v>
      </c>
      <c r="DW31" s="95">
        <f t="shared" si="2"/>
        <v>63.636363636363633</v>
      </c>
    </row>
    <row r="32" spans="2:134" ht="17" thickBot="1" x14ac:dyDescent="0.25">
      <c r="O32" t="s">
        <v>24</v>
      </c>
      <c r="P32" t="s">
        <v>26</v>
      </c>
      <c r="Q32" t="s">
        <v>20</v>
      </c>
      <c r="R32" t="s">
        <v>25</v>
      </c>
      <c r="S32" t="s">
        <v>17</v>
      </c>
      <c r="T32" t="s">
        <v>28</v>
      </c>
      <c r="U32" t="s">
        <v>29</v>
      </c>
      <c r="V32" t="s">
        <v>30</v>
      </c>
      <c r="BN32">
        <f t="shared" si="64"/>
        <v>4.7777777777777777</v>
      </c>
      <c r="BO32">
        <f t="shared" si="65"/>
        <v>21</v>
      </c>
      <c r="BP32">
        <f t="shared" si="66"/>
        <v>9</v>
      </c>
      <c r="BQ32">
        <f t="shared" si="67"/>
        <v>42.857142857142854</v>
      </c>
      <c r="BR32">
        <f t="shared" si="68"/>
        <v>0.43181818181818182</v>
      </c>
      <c r="BS32">
        <f t="shared" si="69"/>
        <v>0.67922594614026166</v>
      </c>
      <c r="BT32">
        <f t="shared" si="70"/>
        <v>4.8282529103624885</v>
      </c>
      <c r="BW32">
        <f t="shared" si="71"/>
        <v>4.7777777777777777</v>
      </c>
      <c r="BX32">
        <f t="shared" si="72"/>
        <v>57</v>
      </c>
      <c r="BY32">
        <f t="shared" si="72"/>
        <v>15</v>
      </c>
      <c r="BZ32">
        <f t="shared" si="73"/>
        <v>26.315789473684209</v>
      </c>
      <c r="CA32">
        <f t="shared" si="74"/>
        <v>0.26724137931034481</v>
      </c>
      <c r="CB32">
        <f t="shared" si="75"/>
        <v>0.67922594614026166</v>
      </c>
      <c r="CC32">
        <f t="shared" si="76"/>
        <v>4.3788223735686476</v>
      </c>
      <c r="CF32">
        <f t="shared" si="77"/>
        <v>4.7777777777777777</v>
      </c>
      <c r="CG32">
        <f t="shared" si="78"/>
        <v>67</v>
      </c>
      <c r="CH32">
        <f t="shared" si="79"/>
        <v>19</v>
      </c>
      <c r="CI32">
        <f t="shared" si="80"/>
        <v>28.35820895522388</v>
      </c>
      <c r="CJ32">
        <f t="shared" si="81"/>
        <v>0.28676470588235292</v>
      </c>
      <c r="CK32">
        <f t="shared" si="82"/>
        <v>0.67922594614026166</v>
      </c>
      <c r="CL32">
        <f t="shared" si="83"/>
        <v>4.4371388134586347</v>
      </c>
      <c r="CV32" s="43" t="s">
        <v>65</v>
      </c>
      <c r="CW32" s="50"/>
      <c r="CX32" s="44" t="s">
        <v>17</v>
      </c>
      <c r="CY32" s="50"/>
      <c r="CZ32" s="44" t="s">
        <v>17</v>
      </c>
      <c r="DA32" s="50"/>
      <c r="DB32" s="44" t="s">
        <v>17</v>
      </c>
      <c r="DF32" s="137" t="s">
        <v>128</v>
      </c>
      <c r="DG32" s="138"/>
      <c r="DH32" s="138"/>
      <c r="DI32" s="138"/>
      <c r="DJ32" s="138"/>
      <c r="DK32" s="138"/>
      <c r="DL32" s="138"/>
      <c r="DM32" s="138"/>
      <c r="DN32" s="139"/>
      <c r="DQ32" s="94" t="s">
        <v>126</v>
      </c>
      <c r="DR32">
        <v>43</v>
      </c>
      <c r="DS32">
        <v>2</v>
      </c>
      <c r="DT32">
        <v>46</v>
      </c>
      <c r="DU32">
        <v>16</v>
      </c>
      <c r="DV32">
        <f t="shared" si="1"/>
        <v>30</v>
      </c>
      <c r="DW32" s="95">
        <f t="shared" si="2"/>
        <v>34.782608695652172</v>
      </c>
    </row>
    <row r="33" spans="2:135" x14ac:dyDescent="0.2">
      <c r="B33" t="s">
        <v>35</v>
      </c>
      <c r="C33">
        <f>25/18</f>
        <v>1.3888888888888888</v>
      </c>
      <c r="F33" t="s">
        <v>53</v>
      </c>
      <c r="G33">
        <f>25/0.12</f>
        <v>208.33333333333334</v>
      </c>
      <c r="P33">
        <v>9.9999999999999995E-7</v>
      </c>
      <c r="Q33">
        <v>81</v>
      </c>
      <c r="R33">
        <v>33</v>
      </c>
      <c r="S33">
        <f>AA7</f>
        <v>40.74074074074074</v>
      </c>
      <c r="T33">
        <f>(R33+0.5)/(Q33+1)</f>
        <v>0.40853658536585363</v>
      </c>
      <c r="U33">
        <f>LOG10(P33)</f>
        <v>-6</v>
      </c>
      <c r="V33">
        <f>_xlfn.NORM.S.INV(T33)+5</f>
        <v>4.7686889602257621</v>
      </c>
      <c r="BN33">
        <f t="shared" si="64"/>
        <v>14.333333333333334</v>
      </c>
      <c r="BO33">
        <f t="shared" si="65"/>
        <v>13</v>
      </c>
      <c r="BP33">
        <f t="shared" si="66"/>
        <v>6</v>
      </c>
      <c r="BQ33">
        <f t="shared" si="67"/>
        <v>46.153846153846153</v>
      </c>
      <c r="BR33">
        <f t="shared" si="68"/>
        <v>0.4642857142857143</v>
      </c>
      <c r="BS33">
        <f t="shared" si="69"/>
        <v>1.156347200859924</v>
      </c>
      <c r="BT33">
        <f t="shared" si="70"/>
        <v>4.9103576489242373</v>
      </c>
      <c r="BW33">
        <f t="shared" si="71"/>
        <v>14.333333333333334</v>
      </c>
      <c r="BX33">
        <f t="shared" si="72"/>
        <v>50</v>
      </c>
      <c r="BY33">
        <f t="shared" si="72"/>
        <v>17</v>
      </c>
      <c r="BZ33">
        <f t="shared" si="73"/>
        <v>34</v>
      </c>
      <c r="CA33">
        <f t="shared" si="74"/>
        <v>0.34313725490196079</v>
      </c>
      <c r="CB33">
        <f t="shared" si="75"/>
        <v>1.156347200859924</v>
      </c>
      <c r="CC33">
        <f t="shared" si="76"/>
        <v>4.5960840266555909</v>
      </c>
      <c r="CF33">
        <f t="shared" si="77"/>
        <v>14.333333333333334</v>
      </c>
      <c r="CG33">
        <f t="shared" si="78"/>
        <v>49</v>
      </c>
      <c r="CH33">
        <f t="shared" si="79"/>
        <v>18</v>
      </c>
      <c r="CI33">
        <f t="shared" si="80"/>
        <v>36.734693877551024</v>
      </c>
      <c r="CJ33">
        <f t="shared" si="81"/>
        <v>0.37</v>
      </c>
      <c r="CK33">
        <f t="shared" si="82"/>
        <v>1.156347200859924</v>
      </c>
      <c r="CL33">
        <f t="shared" si="83"/>
        <v>4.6681466535631833</v>
      </c>
      <c r="CU33" s="55" t="s">
        <v>97</v>
      </c>
      <c r="CV33" s="30">
        <f>CV25</f>
        <v>0</v>
      </c>
      <c r="CW33" s="47"/>
      <c r="CX33" s="49">
        <f>CX25/CW25*100</f>
        <v>18.181818181818183</v>
      </c>
      <c r="CY33" s="47"/>
      <c r="CZ33" s="49">
        <f>CZ25/CY25*100</f>
        <v>18.181818181818183</v>
      </c>
      <c r="DA33" s="47"/>
      <c r="DB33" s="51">
        <f>DB25/DA25*100</f>
        <v>20</v>
      </c>
      <c r="DF33" s="78" t="s">
        <v>124</v>
      </c>
      <c r="DG33" s="134" t="s">
        <v>121</v>
      </c>
      <c r="DH33" s="135"/>
      <c r="DI33" s="135"/>
      <c r="DJ33" s="135"/>
      <c r="DK33" s="135"/>
      <c r="DL33" s="136"/>
      <c r="DM33" s="90" t="s">
        <v>123</v>
      </c>
      <c r="DN33" s="91" t="s">
        <v>122</v>
      </c>
      <c r="DQ33" s="94" t="s">
        <v>126</v>
      </c>
      <c r="DR33">
        <v>43</v>
      </c>
      <c r="DS33">
        <v>3</v>
      </c>
      <c r="DT33">
        <v>19</v>
      </c>
      <c r="DU33">
        <v>7</v>
      </c>
      <c r="DV33">
        <f t="shared" si="1"/>
        <v>12</v>
      </c>
      <c r="DW33" s="95">
        <f t="shared" si="2"/>
        <v>36.84210526315789</v>
      </c>
    </row>
    <row r="34" spans="2:135" ht="17" thickBot="1" x14ac:dyDescent="0.25">
      <c r="P34">
        <f>P8*1000</f>
        <v>2.7</v>
      </c>
      <c r="Q34">
        <f t="shared" ref="Q34:Q40" si="86">Y8</f>
        <v>131</v>
      </c>
      <c r="R34">
        <f t="shared" ref="R34:R40" si="87">X8</f>
        <v>51</v>
      </c>
      <c r="S34">
        <f t="shared" ref="S34:S40" si="88">R34/Q34*100</f>
        <v>38.931297709923662</v>
      </c>
      <c r="T34">
        <f>(R34+0.5)/(Q34+1)</f>
        <v>0.39015151515151514</v>
      </c>
      <c r="U34">
        <f>LOG10(P34)</f>
        <v>0.43136376415898736</v>
      </c>
      <c r="V34">
        <f>_xlfn.NORM.S.INV(T34)+5</f>
        <v>4.7210758442416623</v>
      </c>
      <c r="BN34">
        <f t="shared" si="64"/>
        <v>43</v>
      </c>
      <c r="BO34">
        <f t="shared" si="65"/>
        <v>11</v>
      </c>
      <c r="BP34">
        <f t="shared" si="66"/>
        <v>7</v>
      </c>
      <c r="BQ34">
        <f t="shared" si="67"/>
        <v>63.636363636363633</v>
      </c>
      <c r="BR34">
        <f t="shared" si="68"/>
        <v>0.625</v>
      </c>
      <c r="BS34">
        <f t="shared" si="69"/>
        <v>1.6334684555795864</v>
      </c>
      <c r="BT34">
        <f t="shared" si="70"/>
        <v>5.3186393639643752</v>
      </c>
      <c r="BW34">
        <f t="shared" si="71"/>
        <v>43</v>
      </c>
      <c r="BX34">
        <f t="shared" si="72"/>
        <v>46</v>
      </c>
      <c r="BY34">
        <f t="shared" si="72"/>
        <v>16</v>
      </c>
      <c r="BZ34">
        <f t="shared" si="73"/>
        <v>34.782608695652172</v>
      </c>
      <c r="CA34">
        <f t="shared" si="74"/>
        <v>0.35106382978723405</v>
      </c>
      <c r="CB34">
        <f t="shared" si="75"/>
        <v>1.6334684555795864</v>
      </c>
      <c r="CC34">
        <f t="shared" si="76"/>
        <v>4.6175500678151744</v>
      </c>
      <c r="CF34">
        <f t="shared" si="77"/>
        <v>43</v>
      </c>
      <c r="CG34">
        <f t="shared" si="78"/>
        <v>19</v>
      </c>
      <c r="CH34">
        <f t="shared" si="79"/>
        <v>7</v>
      </c>
      <c r="CI34">
        <f t="shared" si="80"/>
        <v>36.84210526315789</v>
      </c>
      <c r="CJ34">
        <f t="shared" si="81"/>
        <v>0.375</v>
      </c>
      <c r="CK34">
        <f t="shared" si="82"/>
        <v>1.6334684555795864</v>
      </c>
      <c r="CL34">
        <f t="shared" si="83"/>
        <v>4.6813606360356248</v>
      </c>
      <c r="CU34">
        <v>4</v>
      </c>
      <c r="CV34" s="30">
        <f t="shared" ref="CV34:CV37" si="89">CV26</f>
        <v>7.8189300411522639E-2</v>
      </c>
      <c r="CW34" s="47"/>
      <c r="CX34" s="49">
        <f t="shared" ref="CX34:CX37" si="90">CX26/CW26*100</f>
        <v>21.052631578947366</v>
      </c>
      <c r="CY34" s="47"/>
      <c r="CZ34" s="49">
        <f t="shared" ref="CZ34:CZ37" si="91">CZ26/CY26*100</f>
        <v>25</v>
      </c>
      <c r="DA34" s="47"/>
      <c r="DB34" s="51">
        <f t="shared" ref="DB34:DB37" si="92">DB26/DA26*100</f>
        <v>30.434782608695656</v>
      </c>
      <c r="DF34" s="79">
        <v>0</v>
      </c>
      <c r="DG34" s="81">
        <v>21.739130434782609</v>
      </c>
      <c r="DH34">
        <v>22.222222222222221</v>
      </c>
      <c r="DI34">
        <v>30</v>
      </c>
      <c r="DJ34">
        <v>5.8823529411764701</v>
      </c>
      <c r="DK34">
        <v>14.814814814814813</v>
      </c>
      <c r="DL34" s="82">
        <v>0</v>
      </c>
      <c r="DM34" s="81">
        <f>AVERAGE(DG34:DL34)</f>
        <v>15.776420068832683</v>
      </c>
      <c r="DN34" s="82">
        <f>STDEV(DG34:DL34)</f>
        <v>11.199331993887336</v>
      </c>
      <c r="DQ34" s="94" t="s">
        <v>126</v>
      </c>
      <c r="DR34">
        <v>120</v>
      </c>
      <c r="DS34">
        <v>1</v>
      </c>
      <c r="DT34">
        <v>22</v>
      </c>
      <c r="DU34">
        <v>10</v>
      </c>
      <c r="DV34">
        <f t="shared" si="1"/>
        <v>12</v>
      </c>
      <c r="DW34" s="95">
        <f t="shared" si="2"/>
        <v>45.454545454545453</v>
      </c>
    </row>
    <row r="35" spans="2:135" x14ac:dyDescent="0.2">
      <c r="B35" s="13" t="s">
        <v>0</v>
      </c>
      <c r="C35" s="14" t="s">
        <v>17</v>
      </c>
      <c r="D35" s="16">
        <v>0</v>
      </c>
      <c r="E35" s="17">
        <f>C45</f>
        <v>27.777777777777779</v>
      </c>
      <c r="F35" s="16">
        <f>IF(D35=0,0,ROUND(D35,2-1-INT(LOG10(ABS(D35)))))</f>
        <v>0</v>
      </c>
      <c r="G35" s="14">
        <f>IF(E35=0,0,ROUND(E35,2-1-INT(LOG10(ABS(E35)))))</f>
        <v>28</v>
      </c>
      <c r="P35">
        <f t="shared" ref="P35:P40" si="93">P9*1000</f>
        <v>8.2000000000000011</v>
      </c>
      <c r="Q35">
        <f t="shared" si="86"/>
        <v>63</v>
      </c>
      <c r="R35">
        <f t="shared" si="87"/>
        <v>40</v>
      </c>
      <c r="S35">
        <f t="shared" si="88"/>
        <v>63.492063492063487</v>
      </c>
      <c r="T35">
        <f t="shared" ref="T35:T40" si="94">(R35+0.5)/(Q35+1)</f>
        <v>0.6328125</v>
      </c>
      <c r="U35">
        <f t="shared" ref="U35:U40" si="95">LOG10(P35)</f>
        <v>0.91381385238371671</v>
      </c>
      <c r="V35">
        <f t="shared" ref="V35:V40" si="96">_xlfn.NORM.S.INV(T35)+5</f>
        <v>5.3393116065388169</v>
      </c>
      <c r="CU35">
        <v>3</v>
      </c>
      <c r="CV35" s="30">
        <f t="shared" si="89"/>
        <v>0.23456790123456792</v>
      </c>
      <c r="CW35" s="47"/>
      <c r="CX35" s="49">
        <f t="shared" si="90"/>
        <v>35</v>
      </c>
      <c r="CY35" s="47"/>
      <c r="CZ35" s="49">
        <f t="shared" si="91"/>
        <v>31.818181818181817</v>
      </c>
      <c r="DA35" s="47"/>
      <c r="DB35" s="51">
        <f t="shared" si="92"/>
        <v>25</v>
      </c>
      <c r="DF35" s="79">
        <v>49</v>
      </c>
      <c r="DG35" s="81">
        <v>28.205128205128204</v>
      </c>
      <c r="DH35">
        <v>33.333333333333329</v>
      </c>
      <c r="DI35">
        <v>30</v>
      </c>
      <c r="DJ35" s="76"/>
      <c r="DK35" s="76"/>
      <c r="DL35" s="85"/>
      <c r="DM35" s="81">
        <f t="shared" ref="DM35:DM43" si="97">AVERAGE(DG35:DL35)</f>
        <v>30.512820512820511</v>
      </c>
      <c r="DN35" s="82">
        <f t="shared" ref="DN35:DN43" si="98">STDEV(DG35:DL35)</f>
        <v>2.6022798884851825</v>
      </c>
      <c r="DQ35" s="94" t="s">
        <v>126</v>
      </c>
      <c r="DR35">
        <v>120</v>
      </c>
      <c r="DS35">
        <v>2</v>
      </c>
      <c r="DT35">
        <v>38</v>
      </c>
      <c r="DU35">
        <v>12</v>
      </c>
      <c r="DV35">
        <f t="shared" si="1"/>
        <v>26</v>
      </c>
      <c r="DW35" s="95">
        <f t="shared" si="2"/>
        <v>31.578947368421051</v>
      </c>
    </row>
    <row r="36" spans="2:135" x14ac:dyDescent="0.2">
      <c r="B36" s="1">
        <f>C33</f>
        <v>1.3888888888888888</v>
      </c>
      <c r="C36" s="11">
        <f t="shared" ref="C36:C45" si="99">J22/K22*100</f>
        <v>66.666666666666657</v>
      </c>
      <c r="D36" s="1">
        <f>B44*1000</f>
        <v>0.21168859760537861</v>
      </c>
      <c r="E36" s="18">
        <f>C44</f>
        <v>9.0909090909090917</v>
      </c>
      <c r="F36" s="1">
        <f t="shared" ref="F36:F44" si="100">IF(D36=0,0,ROUND(D36,2-1-INT(LOG10(ABS(D36)))))</f>
        <v>0.21</v>
      </c>
      <c r="G36" s="2">
        <f t="shared" ref="G36:G44" si="101">IF(E36=0,0,ROUND(E36,2-1-INT(LOG10(ABS(E36)))))</f>
        <v>9.1</v>
      </c>
      <c r="P36">
        <f t="shared" si="93"/>
        <v>25</v>
      </c>
      <c r="Q36">
        <f t="shared" si="86"/>
        <v>25</v>
      </c>
      <c r="R36">
        <f t="shared" si="87"/>
        <v>19</v>
      </c>
      <c r="S36">
        <f t="shared" si="88"/>
        <v>76</v>
      </c>
      <c r="T36">
        <f t="shared" si="94"/>
        <v>0.75</v>
      </c>
      <c r="U36">
        <f t="shared" si="95"/>
        <v>1.3979400086720377</v>
      </c>
      <c r="V36">
        <f t="shared" si="96"/>
        <v>5.6744897501960816</v>
      </c>
      <c r="BM36" t="s">
        <v>33</v>
      </c>
      <c r="BN36" s="20">
        <f>10^((5-4.9193)/0.5053)</f>
        <v>1.4444652711431425</v>
      </c>
      <c r="BO36" s="20" t="s">
        <v>40</v>
      </c>
      <c r="BV36" t="s">
        <v>33</v>
      </c>
      <c r="BW36" s="20">
        <f>10^((5-4.5093)/0.211)</f>
        <v>211.637399779448</v>
      </c>
      <c r="BX36" s="20" t="s">
        <v>40</v>
      </c>
      <c r="CE36" t="s">
        <v>33</v>
      </c>
      <c r="CF36" s="20">
        <f>10^((5-4.5803)/0.1773)</f>
        <v>232.90257001504204</v>
      </c>
      <c r="CG36" s="20" t="s">
        <v>40</v>
      </c>
      <c r="CU36">
        <v>2</v>
      </c>
      <c r="CV36" s="30">
        <f t="shared" si="89"/>
        <v>0.70370370370370372</v>
      </c>
      <c r="CW36" s="47"/>
      <c r="CX36" s="49">
        <f t="shared" si="90"/>
        <v>44.444444444444443</v>
      </c>
      <c r="CY36" s="47"/>
      <c r="CZ36" s="49">
        <f t="shared" si="91"/>
        <v>36.84210526315789</v>
      </c>
      <c r="DA36" s="47"/>
      <c r="DB36" s="51">
        <f t="shared" si="92"/>
        <v>40</v>
      </c>
      <c r="DF36" s="79">
        <v>77</v>
      </c>
      <c r="DG36" s="83"/>
      <c r="DH36" s="76"/>
      <c r="DI36" s="76"/>
      <c r="DJ36">
        <v>21.428571428571427</v>
      </c>
      <c r="DK36">
        <v>10</v>
      </c>
      <c r="DL36" s="82">
        <v>13.793103448275861</v>
      </c>
      <c r="DM36" s="81">
        <f t="shared" si="97"/>
        <v>15.073891625615763</v>
      </c>
      <c r="DN36" s="82">
        <f t="shared" si="98"/>
        <v>5.8209427922717216</v>
      </c>
      <c r="DQ36" s="94" t="s">
        <v>126</v>
      </c>
      <c r="DR36">
        <v>120</v>
      </c>
      <c r="DS36">
        <v>3</v>
      </c>
      <c r="DT36">
        <v>40</v>
      </c>
      <c r="DU36">
        <v>14</v>
      </c>
      <c r="DV36">
        <f t="shared" si="1"/>
        <v>26</v>
      </c>
      <c r="DW36" s="95">
        <f t="shared" si="2"/>
        <v>35</v>
      </c>
    </row>
    <row r="37" spans="2:135" ht="17" thickBot="1" x14ac:dyDescent="0.25">
      <c r="B37" s="1">
        <f>6*B36/18</f>
        <v>0.46296296296296291</v>
      </c>
      <c r="C37" s="11">
        <f t="shared" si="99"/>
        <v>69.565217391304344</v>
      </c>
      <c r="D37" s="1">
        <f>B43*1000</f>
        <v>0.63506579281613584</v>
      </c>
      <c r="E37" s="18">
        <f>C43</f>
        <v>38.235294117647058</v>
      </c>
      <c r="F37" s="1">
        <f t="shared" si="100"/>
        <v>0.64</v>
      </c>
      <c r="G37" s="2">
        <f t="shared" si="101"/>
        <v>38</v>
      </c>
      <c r="P37">
        <f t="shared" si="93"/>
        <v>74</v>
      </c>
      <c r="Q37">
        <f t="shared" si="86"/>
        <v>146</v>
      </c>
      <c r="R37">
        <f t="shared" si="87"/>
        <v>98</v>
      </c>
      <c r="S37">
        <f t="shared" si="88"/>
        <v>67.123287671232873</v>
      </c>
      <c r="T37">
        <f t="shared" si="94"/>
        <v>0.67006802721088432</v>
      </c>
      <c r="U37">
        <f t="shared" si="95"/>
        <v>1.8692317197309762</v>
      </c>
      <c r="V37">
        <f t="shared" si="96"/>
        <v>5.4401010167379189</v>
      </c>
      <c r="CU37">
        <v>1</v>
      </c>
      <c r="CV37" s="31">
        <f t="shared" si="89"/>
        <v>2.1111111111111112</v>
      </c>
      <c r="CW37" s="48"/>
      <c r="CX37" s="52">
        <f t="shared" si="90"/>
        <v>57.142857142857139</v>
      </c>
      <c r="CY37" s="48"/>
      <c r="CZ37" s="52">
        <f t="shared" si="91"/>
        <v>44.444444444444443</v>
      </c>
      <c r="DA37" s="48"/>
      <c r="DB37" s="53">
        <f t="shared" si="92"/>
        <v>42.857142857142854</v>
      </c>
      <c r="DF37" s="79">
        <v>148</v>
      </c>
      <c r="DG37" s="81">
        <v>30.882352941176471</v>
      </c>
      <c r="DH37">
        <v>29.268292682926827</v>
      </c>
      <c r="DI37">
        <v>41.17647058823529</v>
      </c>
      <c r="DJ37" s="76"/>
      <c r="DK37" s="76"/>
      <c r="DL37" s="85"/>
      <c r="DM37" s="81">
        <f t="shared" si="97"/>
        <v>33.775705404112863</v>
      </c>
      <c r="DN37" s="82">
        <f t="shared" si="98"/>
        <v>6.4598600303879863</v>
      </c>
      <c r="DQ37" s="94" t="s">
        <v>127</v>
      </c>
      <c r="DR37">
        <v>0</v>
      </c>
      <c r="DS37">
        <v>1</v>
      </c>
      <c r="DT37">
        <v>23</v>
      </c>
      <c r="DU37">
        <v>13</v>
      </c>
      <c r="DV37">
        <f>DT37-DU37</f>
        <v>10</v>
      </c>
      <c r="DW37" s="95">
        <f>DU37/DT37*100</f>
        <v>56.521739130434781</v>
      </c>
    </row>
    <row r="38" spans="2:135" x14ac:dyDescent="0.2">
      <c r="B38" s="1">
        <f>6*B37/18</f>
        <v>0.15432098765432098</v>
      </c>
      <c r="C38" s="11">
        <f t="shared" si="99"/>
        <v>88.888888888888886</v>
      </c>
      <c r="D38" s="1">
        <f>B42*1000</f>
        <v>1.9051973784484073</v>
      </c>
      <c r="E38" s="18">
        <f>C42</f>
        <v>43.333333333333336</v>
      </c>
      <c r="F38" s="1">
        <f t="shared" si="100"/>
        <v>1.9</v>
      </c>
      <c r="G38" s="2">
        <f t="shared" si="101"/>
        <v>43</v>
      </c>
      <c r="P38">
        <f t="shared" si="93"/>
        <v>220</v>
      </c>
      <c r="Q38">
        <f t="shared" si="86"/>
        <v>59</v>
      </c>
      <c r="R38">
        <f t="shared" si="87"/>
        <v>41</v>
      </c>
      <c r="S38">
        <f t="shared" si="88"/>
        <v>69.491525423728817</v>
      </c>
      <c r="T38">
        <f t="shared" si="94"/>
        <v>0.69166666666666665</v>
      </c>
      <c r="U38">
        <f t="shared" si="95"/>
        <v>2.3424226808222062</v>
      </c>
      <c r="V38">
        <f t="shared" si="96"/>
        <v>5.5005801054667396</v>
      </c>
      <c r="DF38" s="79">
        <v>231</v>
      </c>
      <c r="DG38" s="83"/>
      <c r="DH38" s="76"/>
      <c r="DI38" s="76"/>
      <c r="DJ38">
        <v>28.571428571428569</v>
      </c>
      <c r="DK38">
        <v>14.285714285714285</v>
      </c>
      <c r="DL38" s="82">
        <v>12.820512820512819</v>
      </c>
      <c r="DM38" s="81">
        <f t="shared" si="97"/>
        <v>18.559218559218557</v>
      </c>
      <c r="DN38" s="82">
        <f t="shared" si="98"/>
        <v>8.7017220037102962</v>
      </c>
      <c r="DQ38" s="94" t="s">
        <v>127</v>
      </c>
      <c r="DR38">
        <v>0</v>
      </c>
      <c r="DS38">
        <v>2</v>
      </c>
      <c r="DT38">
        <v>34</v>
      </c>
      <c r="DU38">
        <v>12</v>
      </c>
      <c r="DV38">
        <f>DT38-DU38</f>
        <v>22</v>
      </c>
      <c r="DW38" s="95">
        <f>DU38/DT38*100</f>
        <v>35.294117647058826</v>
      </c>
    </row>
    <row r="39" spans="2:135" x14ac:dyDescent="0.2">
      <c r="B39" s="1">
        <f t="shared" ref="B39:B44" si="102">6*B38/18</f>
        <v>5.1440329218106991E-2</v>
      </c>
      <c r="C39" s="11">
        <f t="shared" si="99"/>
        <v>64.705882352941174</v>
      </c>
      <c r="D39" s="1">
        <f>B41*1000</f>
        <v>5.7155921353452221</v>
      </c>
      <c r="E39" s="18">
        <f>C41</f>
        <v>57.142857142857139</v>
      </c>
      <c r="F39" s="1">
        <f t="shared" si="100"/>
        <v>5.7</v>
      </c>
      <c r="G39" s="2">
        <f t="shared" si="101"/>
        <v>57</v>
      </c>
      <c r="P39">
        <f t="shared" si="93"/>
        <v>670</v>
      </c>
      <c r="Q39">
        <f t="shared" si="86"/>
        <v>210</v>
      </c>
      <c r="R39">
        <f t="shared" si="87"/>
        <v>152</v>
      </c>
      <c r="S39">
        <f t="shared" si="88"/>
        <v>72.38095238095238</v>
      </c>
      <c r="T39">
        <f t="shared" si="94"/>
        <v>0.72274881516587675</v>
      </c>
      <c r="U39">
        <f t="shared" si="95"/>
        <v>2.8260748027008264</v>
      </c>
      <c r="V39">
        <f t="shared" si="96"/>
        <v>5.5910269412042126</v>
      </c>
      <c r="BR39">
        <v>-1.242292904982931</v>
      </c>
      <c r="BS39">
        <v>4.3255102498039184</v>
      </c>
      <c r="BT39">
        <v>4.1745055090707641</v>
      </c>
      <c r="BU39">
        <v>4.3255102498039184</v>
      </c>
      <c r="DF39" s="79">
        <v>444</v>
      </c>
      <c r="DG39" s="81">
        <v>29.268292682926827</v>
      </c>
      <c r="DH39">
        <v>32</v>
      </c>
      <c r="DI39">
        <v>21.818181818181817</v>
      </c>
      <c r="DJ39" s="76"/>
      <c r="DK39" s="76"/>
      <c r="DL39" s="85"/>
      <c r="DM39" s="81">
        <f t="shared" si="97"/>
        <v>27.695491500369545</v>
      </c>
      <c r="DN39" s="82">
        <f t="shared" si="98"/>
        <v>5.2699746718358451</v>
      </c>
      <c r="DQ39" s="94" t="s">
        <v>127</v>
      </c>
      <c r="DR39">
        <v>0</v>
      </c>
      <c r="DS39">
        <v>3</v>
      </c>
      <c r="DT39">
        <v>18</v>
      </c>
      <c r="DU39">
        <v>7</v>
      </c>
      <c r="DV39">
        <f t="shared" ref="DV39:DV66" si="103">DT39-DU39</f>
        <v>11</v>
      </c>
      <c r="DW39" s="95">
        <f t="shared" ref="DW39:DW66" si="104">DU39/DT39*100</f>
        <v>38.888888888888893</v>
      </c>
    </row>
    <row r="40" spans="2:135" x14ac:dyDescent="0.2">
      <c r="B40" s="1">
        <f t="shared" si="102"/>
        <v>1.7146776406035666E-2</v>
      </c>
      <c r="C40" s="11">
        <f t="shared" si="99"/>
        <v>59.375</v>
      </c>
      <c r="D40" s="1">
        <f>B40*1000</f>
        <v>17.146776406035666</v>
      </c>
      <c r="E40" s="18">
        <f>C40</f>
        <v>59.375</v>
      </c>
      <c r="F40" s="1">
        <f t="shared" si="100"/>
        <v>17</v>
      </c>
      <c r="G40" s="2">
        <f t="shared" si="101"/>
        <v>59</v>
      </c>
      <c r="P40">
        <f t="shared" si="93"/>
        <v>2000</v>
      </c>
      <c r="Q40">
        <f t="shared" si="86"/>
        <v>237</v>
      </c>
      <c r="R40">
        <f t="shared" si="87"/>
        <v>181</v>
      </c>
      <c r="S40">
        <f t="shared" si="88"/>
        <v>76.371308016877634</v>
      </c>
      <c r="T40">
        <f t="shared" si="94"/>
        <v>0.76260504201680668</v>
      </c>
      <c r="U40">
        <f t="shared" si="95"/>
        <v>3.3010299956639813</v>
      </c>
      <c r="V40">
        <f t="shared" si="96"/>
        <v>5.7147073162642155</v>
      </c>
      <c r="AW40" t="s">
        <v>24</v>
      </c>
      <c r="AX40" t="s">
        <v>26</v>
      </c>
      <c r="AY40" t="s">
        <v>20</v>
      </c>
      <c r="AZ40" t="s">
        <v>25</v>
      </c>
      <c r="BA40" t="s">
        <v>17</v>
      </c>
      <c r="BB40" t="s">
        <v>28</v>
      </c>
      <c r="BC40" t="s">
        <v>29</v>
      </c>
      <c r="BD40" t="s">
        <v>30</v>
      </c>
      <c r="BR40">
        <v>-0.7651716502632685</v>
      </c>
      <c r="BS40">
        <v>4.4858438992554657</v>
      </c>
      <c r="BT40">
        <v>4.4755994872919587</v>
      </c>
      <c r="BU40">
        <v>4.5337347386293638</v>
      </c>
      <c r="CS40" t="s">
        <v>61</v>
      </c>
      <c r="DF40" s="79">
        <v>694</v>
      </c>
      <c r="DG40" s="83"/>
      <c r="DH40" s="76"/>
      <c r="DI40" s="76"/>
      <c r="DJ40">
        <v>29.411764705882355</v>
      </c>
      <c r="DK40">
        <v>18.181818181818183</v>
      </c>
      <c r="DL40" s="82">
        <v>26.666666666666668</v>
      </c>
      <c r="DM40" s="81">
        <f t="shared" si="97"/>
        <v>24.753416518122403</v>
      </c>
      <c r="DN40" s="82">
        <f t="shared" si="98"/>
        <v>5.8543419213019829</v>
      </c>
      <c r="DQ40" s="94" t="s">
        <v>127</v>
      </c>
      <c r="DR40">
        <v>0</v>
      </c>
      <c r="DS40">
        <v>4</v>
      </c>
      <c r="DT40">
        <v>22</v>
      </c>
      <c r="DU40">
        <v>4</v>
      </c>
      <c r="DV40">
        <f t="shared" si="103"/>
        <v>18</v>
      </c>
      <c r="DW40" s="95">
        <f t="shared" si="104"/>
        <v>18.181818181818183</v>
      </c>
    </row>
    <row r="41" spans="2:135" x14ac:dyDescent="0.2">
      <c r="B41" s="9">
        <f t="shared" si="102"/>
        <v>5.7155921353452223E-3</v>
      </c>
      <c r="C41" s="11">
        <f t="shared" si="99"/>
        <v>57.142857142857139</v>
      </c>
      <c r="D41" s="1">
        <f>B39*1000</f>
        <v>51.440329218106989</v>
      </c>
      <c r="E41" s="18">
        <f>C39</f>
        <v>64.705882352941174</v>
      </c>
      <c r="F41" s="1">
        <f t="shared" si="100"/>
        <v>51</v>
      </c>
      <c r="G41" s="2">
        <f t="shared" si="101"/>
        <v>65</v>
      </c>
      <c r="AX41">
        <f>0.0000001</f>
        <v>9.9999999999999995E-8</v>
      </c>
      <c r="AY41">
        <f>BB17</f>
        <v>10</v>
      </c>
      <c r="AZ41">
        <f>BB11</f>
        <v>1</v>
      </c>
      <c r="BA41">
        <f>AZ41/AY41*100</f>
        <v>10</v>
      </c>
      <c r="BB41">
        <f>(AZ41+0.5)/(AY41+1)</f>
        <v>0.13636363636363635</v>
      </c>
      <c r="BC41">
        <f>LOG10(AX41)</f>
        <v>-7</v>
      </c>
      <c r="BD41">
        <f>_xlfn.NORM.S.INV(BB41)+5</f>
        <v>3.903196437906487</v>
      </c>
      <c r="BR41">
        <v>-0.28805039554360612</v>
      </c>
      <c r="BS41">
        <v>4.8282529103624885</v>
      </c>
      <c r="BT41">
        <v>4.3788223735686476</v>
      </c>
      <c r="BU41">
        <v>4.4371388134586347</v>
      </c>
      <c r="BV41">
        <v>4.8108815737272073</v>
      </c>
      <c r="CS41">
        <v>2</v>
      </c>
      <c r="CT41">
        <f>6.5*20*10^4</f>
        <v>1300000</v>
      </c>
      <c r="DF41" s="79">
        <v>1333</v>
      </c>
      <c r="DG41" s="81">
        <v>38.095238095238095</v>
      </c>
      <c r="DH41">
        <v>29.629629629629626</v>
      </c>
      <c r="DI41">
        <v>35.135135135135137</v>
      </c>
      <c r="DJ41" s="76"/>
      <c r="DK41" s="76"/>
      <c r="DL41" s="85"/>
      <c r="DM41" s="81">
        <f t="shared" si="97"/>
        <v>34.286667620000948</v>
      </c>
      <c r="DN41" s="82">
        <f t="shared" si="98"/>
        <v>4.2961092300387511</v>
      </c>
      <c r="DQ41" s="94" t="s">
        <v>127</v>
      </c>
      <c r="DR41">
        <v>0</v>
      </c>
      <c r="DS41">
        <v>5</v>
      </c>
      <c r="DT41">
        <v>22</v>
      </c>
      <c r="DU41">
        <v>4</v>
      </c>
      <c r="DV41">
        <f t="shared" si="103"/>
        <v>18</v>
      </c>
      <c r="DW41" s="95">
        <f t="shared" si="104"/>
        <v>18.181818181818183</v>
      </c>
    </row>
    <row r="42" spans="2:135" x14ac:dyDescent="0.2">
      <c r="B42" s="1">
        <f t="shared" si="102"/>
        <v>1.9051973784484073E-3</v>
      </c>
      <c r="C42" s="11">
        <f t="shared" si="99"/>
        <v>43.333333333333336</v>
      </c>
      <c r="D42" s="1">
        <f>B38*1000</f>
        <v>154.32098765432099</v>
      </c>
      <c r="E42" s="18">
        <f>C38</f>
        <v>88.888888888888886</v>
      </c>
      <c r="F42" s="1">
        <f t="shared" si="100"/>
        <v>150</v>
      </c>
      <c r="G42" s="2">
        <f t="shared" si="101"/>
        <v>89</v>
      </c>
      <c r="AX42">
        <f>AX29</f>
        <v>10.588235294117647</v>
      </c>
      <c r="AY42">
        <f>BB16</f>
        <v>19</v>
      </c>
      <c r="AZ42">
        <f>BB10</f>
        <v>8</v>
      </c>
      <c r="BA42">
        <f t="shared" ref="BA42:BA44" si="105">AZ42/AY42*100</f>
        <v>42.105263157894733</v>
      </c>
      <c r="BB42">
        <f t="shared" ref="BB42:BB44" si="106">(AZ42+0.5)/(AY42+1)</f>
        <v>0.42499999999999999</v>
      </c>
      <c r="BC42">
        <f>LOG10(AX42)</f>
        <v>1.0248235837250321</v>
      </c>
      <c r="BD42">
        <f>_xlfn.NORM.S.INV(BB42)+5</f>
        <v>4.8108815737272073</v>
      </c>
      <c r="BR42">
        <v>0.18907085917605629</v>
      </c>
      <c r="BS42">
        <v>4.9103576489242373</v>
      </c>
      <c r="BT42">
        <v>4.5960840266555909</v>
      </c>
      <c r="BU42">
        <v>4.6681466535631833</v>
      </c>
      <c r="BV42">
        <v>5.2993069104656669</v>
      </c>
      <c r="CS42">
        <v>3</v>
      </c>
      <c r="CT42">
        <f>2*20*10^4</f>
        <v>400000</v>
      </c>
      <c r="DF42" s="79">
        <v>2083</v>
      </c>
      <c r="DG42" s="83"/>
      <c r="DH42" s="76"/>
      <c r="DI42" s="76"/>
      <c r="DJ42">
        <v>42.857142857142854</v>
      </c>
      <c r="DK42">
        <v>29.032258064516132</v>
      </c>
      <c r="DL42" s="82">
        <v>16.901408450704224</v>
      </c>
      <c r="DM42" s="81">
        <f t="shared" si="97"/>
        <v>29.596936457454404</v>
      </c>
      <c r="DN42" s="82">
        <f t="shared" si="98"/>
        <v>12.987077554630369</v>
      </c>
      <c r="DQ42" s="94" t="s">
        <v>127</v>
      </c>
      <c r="DR42">
        <v>0</v>
      </c>
      <c r="DS42">
        <v>6</v>
      </c>
      <c r="DT42">
        <v>20</v>
      </c>
      <c r="DU42">
        <v>4</v>
      </c>
      <c r="DV42">
        <f t="shared" si="103"/>
        <v>16</v>
      </c>
      <c r="DW42" s="95">
        <f t="shared" si="104"/>
        <v>20</v>
      </c>
    </row>
    <row r="43" spans="2:135" ht="17" thickBot="1" x14ac:dyDescent="0.25">
      <c r="B43" s="1">
        <f t="shared" si="102"/>
        <v>6.3506579281613585E-4</v>
      </c>
      <c r="C43" s="11">
        <f t="shared" si="99"/>
        <v>38.235294117647058</v>
      </c>
      <c r="D43" s="1">
        <f>B37*1000</f>
        <v>462.96296296296293</v>
      </c>
      <c r="E43" s="18">
        <f>C37</f>
        <v>69.565217391304344</v>
      </c>
      <c r="F43" s="1">
        <f t="shared" si="100"/>
        <v>460</v>
      </c>
      <c r="G43" s="2">
        <f t="shared" si="101"/>
        <v>70</v>
      </c>
      <c r="AX43">
        <f>AX30</f>
        <v>31.764705882352942</v>
      </c>
      <c r="AY43">
        <f>BB15</f>
        <v>16</v>
      </c>
      <c r="AZ43">
        <v>10</v>
      </c>
      <c r="BA43">
        <f t="shared" si="105"/>
        <v>62.5</v>
      </c>
      <c r="BB43">
        <f t="shared" si="106"/>
        <v>0.61764705882352944</v>
      </c>
      <c r="BC43">
        <f t="shared" ref="BC43:BC44" si="107">LOG10(AX43)</f>
        <v>1.5019448384446945</v>
      </c>
      <c r="BD43">
        <f t="shared" ref="BD43:BD44" si="108">_xlfn.NORM.S.INV(BB43)+5</f>
        <v>5.2993069104656669</v>
      </c>
      <c r="BR43">
        <v>0.66619211389571875</v>
      </c>
      <c r="BS43">
        <v>5.3186393639643752</v>
      </c>
      <c r="BT43">
        <v>4.6175500678151744</v>
      </c>
      <c r="BU43">
        <v>4.6813606360356248</v>
      </c>
      <c r="BV43">
        <v>5.548522282698098</v>
      </c>
      <c r="DF43" s="80">
        <v>4000</v>
      </c>
      <c r="DG43" s="86">
        <v>42.105263157894733</v>
      </c>
      <c r="DH43" s="87">
        <v>25.581395348837212</v>
      </c>
      <c r="DI43" s="87">
        <v>30.555555555555557</v>
      </c>
      <c r="DJ43" s="88"/>
      <c r="DK43" s="88"/>
      <c r="DL43" s="89"/>
      <c r="DM43" s="86">
        <f t="shared" si="97"/>
        <v>32.747404687429167</v>
      </c>
      <c r="DN43" s="92">
        <f t="shared" si="98"/>
        <v>8.4771872578982865</v>
      </c>
      <c r="DQ43" s="94" t="s">
        <v>127</v>
      </c>
      <c r="DR43">
        <v>76</v>
      </c>
      <c r="DS43">
        <v>1</v>
      </c>
      <c r="DT43">
        <v>23</v>
      </c>
      <c r="DU43">
        <v>7</v>
      </c>
      <c r="DV43">
        <f t="shared" si="103"/>
        <v>16</v>
      </c>
      <c r="DW43" s="95">
        <f t="shared" si="104"/>
        <v>30.434782608695656</v>
      </c>
    </row>
    <row r="44" spans="2:135" ht="17" thickBot="1" x14ac:dyDescent="0.25">
      <c r="B44" s="1">
        <f t="shared" si="102"/>
        <v>2.1168859760537862E-4</v>
      </c>
      <c r="C44" s="11">
        <f t="shared" si="99"/>
        <v>9.0909090909090917</v>
      </c>
      <c r="D44" s="3">
        <f>B36*1000</f>
        <v>1388.8888888888889</v>
      </c>
      <c r="E44" s="19">
        <f>C36</f>
        <v>66.666666666666657</v>
      </c>
      <c r="F44" s="1">
        <f t="shared" si="100"/>
        <v>1400</v>
      </c>
      <c r="G44" s="2">
        <f t="shared" si="101"/>
        <v>67</v>
      </c>
      <c r="AX44">
        <f>AX31</f>
        <v>95.294117647058826</v>
      </c>
      <c r="AY44">
        <f>BB14</f>
        <v>11</v>
      </c>
      <c r="AZ44">
        <v>8</v>
      </c>
      <c r="BA44">
        <f t="shared" si="105"/>
        <v>72.727272727272734</v>
      </c>
      <c r="BB44">
        <f t="shared" si="106"/>
        <v>0.70833333333333337</v>
      </c>
      <c r="BC44">
        <f t="shared" si="107"/>
        <v>1.9790660931643571</v>
      </c>
      <c r="BD44">
        <f t="shared" si="108"/>
        <v>5.548522282698098</v>
      </c>
      <c r="CD44" t="s">
        <v>90</v>
      </c>
      <c r="DQ44" s="94" t="s">
        <v>127</v>
      </c>
      <c r="DR44">
        <v>76</v>
      </c>
      <c r="DS44">
        <v>2</v>
      </c>
      <c r="DT44">
        <v>22</v>
      </c>
      <c r="DU44">
        <v>11</v>
      </c>
      <c r="DV44">
        <f t="shared" si="103"/>
        <v>11</v>
      </c>
      <c r="DW44" s="95">
        <f t="shared" si="104"/>
        <v>50</v>
      </c>
      <c r="EE44" t="s">
        <v>133</v>
      </c>
    </row>
    <row r="45" spans="2:135" ht="17" thickBot="1" x14ac:dyDescent="0.25">
      <c r="B45" s="3">
        <v>0</v>
      </c>
      <c r="C45" s="15">
        <f t="shared" si="99"/>
        <v>27.777777777777779</v>
      </c>
      <c r="F45" s="3"/>
      <c r="G45" s="5"/>
      <c r="O45" t="s">
        <v>33</v>
      </c>
      <c r="P45" s="20">
        <f>10^((5-4.9622)/0.2481)</f>
        <v>1.4202275082213269</v>
      </c>
      <c r="Q45" s="20" t="s">
        <v>40</v>
      </c>
      <c r="DQ45" s="94" t="s">
        <v>127</v>
      </c>
      <c r="DR45">
        <v>76</v>
      </c>
      <c r="DS45">
        <v>3</v>
      </c>
      <c r="DT45">
        <v>23</v>
      </c>
      <c r="DU45">
        <v>7</v>
      </c>
      <c r="DV45">
        <f t="shared" si="103"/>
        <v>16</v>
      </c>
      <c r="DW45" s="95">
        <f t="shared" si="104"/>
        <v>30.434782608695656</v>
      </c>
    </row>
    <row r="46" spans="2:135" x14ac:dyDescent="0.2">
      <c r="AD46" s="112"/>
      <c r="AE46" s="112"/>
      <c r="AF46" s="112"/>
      <c r="AG46" s="112"/>
      <c r="AH46" s="112"/>
      <c r="AI46" s="112"/>
      <c r="AJ46" s="112"/>
      <c r="AK46" s="112"/>
      <c r="AL46" s="112"/>
      <c r="AM46" s="112"/>
      <c r="AN46" s="112"/>
      <c r="AO46" s="112"/>
      <c r="AP46" s="112"/>
      <c r="AQ46" s="112"/>
      <c r="AR46" s="112"/>
      <c r="AS46" s="112"/>
      <c r="AT46" s="112"/>
      <c r="CD46" t="s">
        <v>94</v>
      </c>
      <c r="DQ46" s="94" t="s">
        <v>127</v>
      </c>
      <c r="DR46">
        <v>78</v>
      </c>
      <c r="DS46">
        <v>1</v>
      </c>
      <c r="DT46">
        <v>19</v>
      </c>
      <c r="DU46">
        <v>4</v>
      </c>
      <c r="DV46">
        <f t="shared" si="103"/>
        <v>15</v>
      </c>
      <c r="DW46" s="95">
        <f t="shared" si="104"/>
        <v>21.052631578947366</v>
      </c>
    </row>
    <row r="47" spans="2:135" ht="17" thickBot="1" x14ac:dyDescent="0.25">
      <c r="AD47" s="74"/>
      <c r="AE47" s="112"/>
      <c r="AF47" s="112"/>
      <c r="AG47" s="112"/>
      <c r="AH47" s="112"/>
      <c r="AI47" s="112"/>
      <c r="AJ47" s="112"/>
      <c r="AK47" s="112"/>
      <c r="AL47" s="112"/>
      <c r="AM47" s="112"/>
      <c r="AN47" s="112"/>
      <c r="AO47" s="112"/>
      <c r="AP47" s="112"/>
      <c r="AQ47" s="112"/>
      <c r="AR47" s="112"/>
      <c r="AS47" s="112"/>
      <c r="AT47" s="112"/>
      <c r="DQ47" s="94" t="s">
        <v>127</v>
      </c>
      <c r="DR47">
        <v>78</v>
      </c>
      <c r="DS47">
        <v>2</v>
      </c>
      <c r="DT47">
        <v>16</v>
      </c>
      <c r="DU47">
        <v>4</v>
      </c>
      <c r="DV47">
        <f t="shared" si="103"/>
        <v>12</v>
      </c>
      <c r="DW47" s="95">
        <f t="shared" si="104"/>
        <v>25</v>
      </c>
    </row>
    <row r="48" spans="2:135" ht="17" thickBot="1" x14ac:dyDescent="0.25">
      <c r="O48" s="128" t="s">
        <v>37</v>
      </c>
      <c r="P48" s="129"/>
      <c r="Q48" s="129"/>
      <c r="R48" s="129"/>
      <c r="S48" s="129"/>
      <c r="T48" s="129"/>
      <c r="U48" s="129"/>
      <c r="V48" s="129"/>
      <c r="W48" s="129"/>
      <c r="X48" s="129"/>
      <c r="Y48" s="129"/>
      <c r="Z48" s="129"/>
      <c r="AA48" s="130"/>
      <c r="AE48" s="36"/>
      <c r="AF48" s="36"/>
      <c r="AG48" s="36"/>
      <c r="AH48" s="36"/>
      <c r="AI48" s="36"/>
      <c r="AJ48" s="36"/>
      <c r="AK48" s="36"/>
      <c r="AL48" s="36"/>
      <c r="AM48" s="36"/>
      <c r="AN48" s="36"/>
      <c r="AO48" s="36"/>
      <c r="AP48" s="36"/>
      <c r="AQ48" s="36"/>
      <c r="AR48" s="36"/>
      <c r="AS48" s="36"/>
      <c r="AT48" s="36"/>
      <c r="AW48" t="s">
        <v>33</v>
      </c>
      <c r="AX48" s="20">
        <f>10^((5-5.0996)/0.773)</f>
        <v>0.74327813668835052</v>
      </c>
      <c r="AY48" s="20" t="s">
        <v>40</v>
      </c>
      <c r="BM48" t="s">
        <v>113</v>
      </c>
      <c r="BN48" s="74" t="s">
        <v>114</v>
      </c>
      <c r="DQ48" s="94" t="s">
        <v>127</v>
      </c>
      <c r="DR48">
        <v>78</v>
      </c>
      <c r="DS48">
        <v>3</v>
      </c>
      <c r="DT48">
        <v>23</v>
      </c>
      <c r="DU48">
        <v>7</v>
      </c>
      <c r="DV48">
        <f t="shared" si="103"/>
        <v>16</v>
      </c>
      <c r="DW48" s="95">
        <f t="shared" si="104"/>
        <v>30.434782608695656</v>
      </c>
    </row>
    <row r="49" spans="2:127" x14ac:dyDescent="0.2">
      <c r="B49" t="s">
        <v>24</v>
      </c>
      <c r="C49" t="s">
        <v>26</v>
      </c>
      <c r="D49" t="s">
        <v>20</v>
      </c>
      <c r="E49" t="s">
        <v>25</v>
      </c>
      <c r="F49" t="s">
        <v>17</v>
      </c>
      <c r="G49" t="s">
        <v>28</v>
      </c>
      <c r="H49" t="s">
        <v>29</v>
      </c>
      <c r="I49" t="s">
        <v>30</v>
      </c>
      <c r="O49" s="6"/>
      <c r="P49" s="6" t="s">
        <v>0</v>
      </c>
      <c r="Q49" s="109" t="s">
        <v>10</v>
      </c>
      <c r="R49" s="127"/>
      <c r="S49" s="118" t="s">
        <v>11</v>
      </c>
      <c r="T49" s="119"/>
      <c r="U49" s="118" t="s">
        <v>12</v>
      </c>
      <c r="V49" s="120"/>
      <c r="W49" s="118" t="s">
        <v>15</v>
      </c>
      <c r="X49" s="112"/>
      <c r="Y49" s="112"/>
      <c r="Z49" s="112"/>
      <c r="AA49" s="120"/>
      <c r="BM49">
        <v>2</v>
      </c>
      <c r="BN49">
        <f>5.75*20*10^4</f>
        <v>1150000</v>
      </c>
      <c r="BO49" t="s">
        <v>61</v>
      </c>
      <c r="BQ49" s="74" t="s">
        <v>116</v>
      </c>
      <c r="DQ49" s="94" t="s">
        <v>127</v>
      </c>
      <c r="DR49">
        <v>227</v>
      </c>
      <c r="DS49">
        <v>1</v>
      </c>
      <c r="DT49">
        <v>10</v>
      </c>
      <c r="DU49">
        <v>4</v>
      </c>
      <c r="DV49">
        <f t="shared" si="103"/>
        <v>6</v>
      </c>
      <c r="DW49" s="95">
        <f t="shared" si="104"/>
        <v>40</v>
      </c>
    </row>
    <row r="50" spans="2:127" x14ac:dyDescent="0.2">
      <c r="C50">
        <f t="shared" ref="C50:C58" si="109">F36</f>
        <v>0.21</v>
      </c>
      <c r="D50">
        <f>K30</f>
        <v>11</v>
      </c>
      <c r="E50">
        <f>J30</f>
        <v>1</v>
      </c>
      <c r="F50">
        <f>E50/D50</f>
        <v>9.0909090909090912E-2</v>
      </c>
      <c r="G50">
        <f>(E50+0.5)/(D50+1)</f>
        <v>0.125</v>
      </c>
      <c r="H50">
        <f>LOG10(C50)</f>
        <v>-0.6777807052660807</v>
      </c>
      <c r="I50">
        <f>_xlfn.NORM.S.INV(G50)+5</f>
        <v>3.8496506196239917</v>
      </c>
      <c r="O50" s="29"/>
      <c r="P50" s="30"/>
      <c r="Q50" t="s">
        <v>1</v>
      </c>
      <c r="R50" s="2" t="s">
        <v>7</v>
      </c>
      <c r="S50" s="1" t="s">
        <v>2</v>
      </c>
      <c r="T50" s="2" t="s">
        <v>8</v>
      </c>
      <c r="U50" s="1" t="s">
        <v>3</v>
      </c>
      <c r="V50" s="2" t="s">
        <v>6</v>
      </c>
      <c r="W50" s="1" t="s">
        <v>4</v>
      </c>
      <c r="X50" t="s">
        <v>9</v>
      </c>
      <c r="Y50" t="s">
        <v>5</v>
      </c>
      <c r="Z50" t="s">
        <v>16</v>
      </c>
      <c r="AA50" s="2" t="s">
        <v>17</v>
      </c>
      <c r="BM50">
        <v>3</v>
      </c>
      <c r="BN50">
        <f>2*20*10^4</f>
        <v>400000</v>
      </c>
      <c r="BO50" t="s">
        <v>61</v>
      </c>
      <c r="BQ50" s="74" t="s">
        <v>115</v>
      </c>
      <c r="DQ50" s="94" t="s">
        <v>127</v>
      </c>
      <c r="DR50">
        <v>227</v>
      </c>
      <c r="DS50">
        <v>2</v>
      </c>
      <c r="DT50">
        <v>26</v>
      </c>
      <c r="DU50">
        <v>11</v>
      </c>
      <c r="DV50">
        <f t="shared" si="103"/>
        <v>15</v>
      </c>
      <c r="DW50" s="95">
        <f t="shared" si="104"/>
        <v>42.307692307692307</v>
      </c>
    </row>
    <row r="51" spans="2:127" ht="17" thickBot="1" x14ac:dyDescent="0.25">
      <c r="C51">
        <f t="shared" si="109"/>
        <v>0.64</v>
      </c>
      <c r="D51">
        <f>K29</f>
        <v>34</v>
      </c>
      <c r="E51">
        <f>J29</f>
        <v>13</v>
      </c>
      <c r="F51">
        <f t="shared" ref="F51:F58" si="110">E51/D51</f>
        <v>0.38235294117647056</v>
      </c>
      <c r="G51">
        <f t="shared" ref="G51:G58" si="111">(E51+0.5)/(D51+1)</f>
        <v>0.38571428571428573</v>
      </c>
      <c r="H51">
        <f t="shared" ref="H51:H58" si="112">LOG10(C51)</f>
        <v>-0.19382002601611281</v>
      </c>
      <c r="I51">
        <f t="shared" ref="I51:I58" si="113">_xlfn.NORM.S.INV(G51)+5</f>
        <v>4.7094932288766058</v>
      </c>
      <c r="O51" s="30" cm="1">
        <f t="array" ref="O51:O58">_xlfn.SORTBY(O7:O14,ROW(O7:O14),-1)</f>
        <v>0</v>
      </c>
      <c r="P51" s="30">
        <f t="shared" ref="P51" si="114">IF(P60=0,0,ROUND(P60,2-1-INT(LOG10(ABS(P60)))))</f>
        <v>0</v>
      </c>
      <c r="Q51">
        <f>135-53</f>
        <v>82</v>
      </c>
      <c r="R51" s="2">
        <v>52</v>
      </c>
      <c r="S51" s="1">
        <f>52-20</f>
        <v>32</v>
      </c>
      <c r="T51" s="2">
        <v>20</v>
      </c>
      <c r="U51" s="1">
        <f>26-11</f>
        <v>15</v>
      </c>
      <c r="V51" s="2">
        <v>11</v>
      </c>
      <c r="W51" s="1">
        <f>Q51+S51+U51</f>
        <v>129</v>
      </c>
      <c r="X51">
        <f>R51+T51+V51</f>
        <v>83</v>
      </c>
      <c r="Y51">
        <f>Q51+R51+S51+T51+U51+V51</f>
        <v>212</v>
      </c>
      <c r="Z51">
        <f>W51/Y51*100</f>
        <v>60.84905660377359</v>
      </c>
      <c r="AA51" s="2">
        <f>X51/Y51*100</f>
        <v>39.150943396226417</v>
      </c>
      <c r="DQ51" s="94" t="s">
        <v>127</v>
      </c>
      <c r="DR51">
        <v>227</v>
      </c>
      <c r="DS51">
        <v>3</v>
      </c>
      <c r="DT51">
        <v>26</v>
      </c>
      <c r="DU51">
        <v>10</v>
      </c>
      <c r="DV51">
        <f t="shared" si="103"/>
        <v>16</v>
      </c>
      <c r="DW51" s="95">
        <f t="shared" si="104"/>
        <v>38.461538461538467</v>
      </c>
    </row>
    <row r="52" spans="2:127" ht="17" thickBot="1" x14ac:dyDescent="0.25">
      <c r="C52">
        <f t="shared" si="109"/>
        <v>1.9</v>
      </c>
      <c r="D52">
        <f>K28</f>
        <v>30</v>
      </c>
      <c r="E52">
        <f>J28</f>
        <v>13</v>
      </c>
      <c r="F52">
        <f t="shared" si="110"/>
        <v>0.43333333333333335</v>
      </c>
      <c r="G52">
        <f t="shared" si="111"/>
        <v>0.43548387096774194</v>
      </c>
      <c r="H52">
        <f t="shared" si="112"/>
        <v>0.27875360095282892</v>
      </c>
      <c r="I52">
        <f t="shared" si="113"/>
        <v>4.8375706273587147</v>
      </c>
      <c r="O52" s="22">
        <v>2.7434842249657062E-3</v>
      </c>
      <c r="P52" s="30">
        <f>IF(O52=0,0,ROUND(O52,2-1-INT(LOG10(ABS(O52)))))</f>
        <v>2.7000000000000001E-3</v>
      </c>
      <c r="Q52">
        <f>11-6</f>
        <v>5</v>
      </c>
      <c r="R52" s="2">
        <v>6</v>
      </c>
      <c r="S52" s="1">
        <f>7-3</f>
        <v>4</v>
      </c>
      <c r="T52" s="2">
        <v>3</v>
      </c>
      <c r="U52" s="1">
        <f>20-13</f>
        <v>7</v>
      </c>
      <c r="V52" s="2">
        <v>13</v>
      </c>
      <c r="W52" s="1">
        <f t="shared" ref="W52" si="115">Q52+S52+U52</f>
        <v>16</v>
      </c>
      <c r="X52">
        <f t="shared" ref="X52:X58" si="116">R52+T52+V52</f>
        <v>22</v>
      </c>
      <c r="Y52">
        <f t="shared" ref="Y52:Y58" si="117">Q52+R52+S52+T52+U52+V52</f>
        <v>38</v>
      </c>
      <c r="Z52">
        <f t="shared" ref="Z52:Z58" si="118">W52/Y52*100</f>
        <v>42.105263157894733</v>
      </c>
      <c r="AA52" s="2">
        <f t="shared" ref="AA52:AA58" si="119">X52/Y52*100</f>
        <v>57.894736842105267</v>
      </c>
      <c r="BO52" s="104" t="s">
        <v>83</v>
      </c>
      <c r="BP52" s="105"/>
      <c r="BQ52" s="104" t="s">
        <v>83</v>
      </c>
      <c r="BR52" s="105"/>
      <c r="BS52" s="104" t="s">
        <v>83</v>
      </c>
      <c r="BT52" s="105"/>
      <c r="DQ52" s="94" t="s">
        <v>127</v>
      </c>
      <c r="DR52">
        <v>235</v>
      </c>
      <c r="DS52">
        <v>1</v>
      </c>
      <c r="DT52">
        <v>20</v>
      </c>
      <c r="DU52">
        <v>7</v>
      </c>
      <c r="DV52">
        <f t="shared" si="103"/>
        <v>13</v>
      </c>
      <c r="DW52" s="95">
        <f t="shared" si="104"/>
        <v>35</v>
      </c>
    </row>
    <row r="53" spans="2:127" x14ac:dyDescent="0.2">
      <c r="C53">
        <f t="shared" si="109"/>
        <v>5.7</v>
      </c>
      <c r="D53">
        <f>K27</f>
        <v>7</v>
      </c>
      <c r="E53">
        <f>J27</f>
        <v>4</v>
      </c>
      <c r="F53">
        <f t="shared" si="110"/>
        <v>0.5714285714285714</v>
      </c>
      <c r="G53">
        <f t="shared" si="111"/>
        <v>0.5625</v>
      </c>
      <c r="H53">
        <f t="shared" si="112"/>
        <v>0.75587485567249146</v>
      </c>
      <c r="I53">
        <f t="shared" si="113"/>
        <v>5.1573106846101711</v>
      </c>
      <c r="O53" s="30">
        <v>8.2304526748971183E-3</v>
      </c>
      <c r="P53" s="30">
        <f>IF(O53=0,0,ROUND(O53,2-1-INT(LOG10(ABS(O53)))))</f>
        <v>8.2000000000000007E-3</v>
      </c>
      <c r="Q53">
        <v>1</v>
      </c>
      <c r="R53" s="2">
        <v>4</v>
      </c>
      <c r="S53" s="1">
        <f>39-25</f>
        <v>14</v>
      </c>
      <c r="T53" s="2">
        <v>25</v>
      </c>
      <c r="U53" s="1">
        <f>9-6</f>
        <v>3</v>
      </c>
      <c r="V53" s="2">
        <v>6</v>
      </c>
      <c r="W53" s="1">
        <f>Q53+S53+U53</f>
        <v>18</v>
      </c>
      <c r="X53">
        <f t="shared" si="116"/>
        <v>35</v>
      </c>
      <c r="Y53">
        <f t="shared" si="117"/>
        <v>53</v>
      </c>
      <c r="Z53">
        <f t="shared" si="118"/>
        <v>33.962264150943398</v>
      </c>
      <c r="AA53" s="2">
        <f t="shared" si="119"/>
        <v>66.037735849056602</v>
      </c>
      <c r="BN53" s="43" t="s">
        <v>65</v>
      </c>
      <c r="BO53" s="22" t="s">
        <v>20</v>
      </c>
      <c r="BP53" s="27" t="s">
        <v>25</v>
      </c>
      <c r="BQ53" s="22" t="s">
        <v>20</v>
      </c>
      <c r="BR53" s="27" t="s">
        <v>25</v>
      </c>
      <c r="BS53" s="22" t="s">
        <v>20</v>
      </c>
      <c r="BT53" s="27" t="s">
        <v>25</v>
      </c>
      <c r="BV53">
        <v>0</v>
      </c>
      <c r="BW53">
        <v>21.739130434782609</v>
      </c>
      <c r="BX53">
        <v>22.222222222222221</v>
      </c>
      <c r="BY53">
        <v>30</v>
      </c>
      <c r="DQ53" s="94" t="s">
        <v>127</v>
      </c>
      <c r="DR53">
        <v>235</v>
      </c>
      <c r="DS53">
        <v>2</v>
      </c>
      <c r="DT53">
        <v>22</v>
      </c>
      <c r="DU53">
        <v>7</v>
      </c>
      <c r="DV53">
        <f t="shared" si="103"/>
        <v>15</v>
      </c>
      <c r="DW53" s="95">
        <f t="shared" si="104"/>
        <v>31.818181818181817</v>
      </c>
    </row>
    <row r="54" spans="2:127" x14ac:dyDescent="0.2">
      <c r="C54">
        <f t="shared" si="109"/>
        <v>17</v>
      </c>
      <c r="D54">
        <f>K26</f>
        <v>32</v>
      </c>
      <c r="E54">
        <f>J26</f>
        <v>19</v>
      </c>
      <c r="F54">
        <f t="shared" si="110"/>
        <v>0.59375</v>
      </c>
      <c r="G54">
        <f t="shared" si="111"/>
        <v>0.59090909090909094</v>
      </c>
      <c r="H54">
        <f t="shared" si="112"/>
        <v>1.2304489213782739</v>
      </c>
      <c r="I54">
        <f t="shared" si="113"/>
        <v>5.2298841175792319</v>
      </c>
      <c r="O54" s="30">
        <v>2.4691358024691357E-2</v>
      </c>
      <c r="P54" s="30">
        <f>IF(O54=0,0,ROUND(O54,2-1-INT(LOG10(ABS(O54)))))</f>
        <v>2.5000000000000001E-2</v>
      </c>
      <c r="Q54">
        <f>39-28</f>
        <v>11</v>
      </c>
      <c r="R54" s="2">
        <v>28</v>
      </c>
      <c r="S54" s="1">
        <f>10-8</f>
        <v>2</v>
      </c>
      <c r="T54" s="2">
        <v>8</v>
      </c>
      <c r="U54" s="1">
        <f>8-6</f>
        <v>2</v>
      </c>
      <c r="V54" s="2">
        <v>6</v>
      </c>
      <c r="W54" s="1">
        <f t="shared" ref="W54:W58" si="120">Q54+S54+U54</f>
        <v>15</v>
      </c>
      <c r="X54">
        <f t="shared" si="116"/>
        <v>42</v>
      </c>
      <c r="Y54">
        <f t="shared" si="117"/>
        <v>57</v>
      </c>
      <c r="Z54">
        <f t="shared" si="118"/>
        <v>26.315789473684209</v>
      </c>
      <c r="AA54" s="2">
        <f t="shared" si="119"/>
        <v>73.68421052631578</v>
      </c>
      <c r="BM54">
        <f>0</f>
        <v>0</v>
      </c>
      <c r="BN54" s="30">
        <f>BN62</f>
        <v>0</v>
      </c>
      <c r="BO54" s="22">
        <v>23</v>
      </c>
      <c r="BP54" s="27">
        <v>5</v>
      </c>
      <c r="BQ54" s="22">
        <v>18</v>
      </c>
      <c r="BR54" s="27">
        <v>4</v>
      </c>
      <c r="BS54" s="22">
        <v>30</v>
      </c>
      <c r="BT54" s="27">
        <v>9</v>
      </c>
      <c r="BV54">
        <v>4.9382716049382713E-2</v>
      </c>
      <c r="BW54">
        <v>28.205128205128204</v>
      </c>
      <c r="BX54">
        <v>33.333333333333329</v>
      </c>
      <c r="BY54">
        <v>30</v>
      </c>
      <c r="DQ54" s="94" t="s">
        <v>127</v>
      </c>
      <c r="DR54">
        <v>235</v>
      </c>
      <c r="DS54">
        <v>3</v>
      </c>
      <c r="DT54">
        <v>28</v>
      </c>
      <c r="DU54">
        <v>7</v>
      </c>
      <c r="DV54">
        <f t="shared" si="103"/>
        <v>21</v>
      </c>
      <c r="DW54" s="95">
        <f t="shared" si="104"/>
        <v>25</v>
      </c>
    </row>
    <row r="55" spans="2:127" x14ac:dyDescent="0.2">
      <c r="C55">
        <f t="shared" si="109"/>
        <v>51</v>
      </c>
      <c r="D55">
        <f>K25</f>
        <v>17</v>
      </c>
      <c r="E55">
        <f>J25</f>
        <v>11</v>
      </c>
      <c r="F55">
        <f t="shared" si="110"/>
        <v>0.6470588235294118</v>
      </c>
      <c r="G55">
        <f t="shared" si="111"/>
        <v>0.63888888888888884</v>
      </c>
      <c r="H55">
        <f t="shared" si="112"/>
        <v>1.7075701760979363</v>
      </c>
      <c r="I55">
        <f t="shared" si="113"/>
        <v>5.3554904178395306</v>
      </c>
      <c r="O55" s="30">
        <v>7.407407407407407E-2</v>
      </c>
      <c r="P55" s="30">
        <v>7.3999999999999996E-2</v>
      </c>
      <c r="Q55">
        <v>1</v>
      </c>
      <c r="R55" s="2">
        <v>7</v>
      </c>
      <c r="S55" s="1">
        <f>7-6</f>
        <v>1</v>
      </c>
      <c r="T55" s="2">
        <v>6</v>
      </c>
      <c r="U55" s="1">
        <f>7-5</f>
        <v>2</v>
      </c>
      <c r="V55" s="2">
        <v>5</v>
      </c>
      <c r="W55" s="1">
        <f t="shared" si="120"/>
        <v>4</v>
      </c>
      <c r="X55">
        <f t="shared" si="116"/>
        <v>18</v>
      </c>
      <c r="Y55">
        <f t="shared" si="117"/>
        <v>22</v>
      </c>
      <c r="Z55">
        <f t="shared" si="118"/>
        <v>18.181818181818183</v>
      </c>
      <c r="AA55" s="2">
        <f t="shared" si="119"/>
        <v>81.818181818181827</v>
      </c>
      <c r="BM55">
        <v>5</v>
      </c>
      <c r="BN55" s="30">
        <f t="shared" ref="BN55:BN59" si="121">BN63</f>
        <v>4.9382716049382713E-2</v>
      </c>
      <c r="BO55" s="22">
        <v>39</v>
      </c>
      <c r="BP55" s="27">
        <v>11</v>
      </c>
      <c r="BQ55" s="22">
        <v>24</v>
      </c>
      <c r="BR55" s="27">
        <v>8</v>
      </c>
      <c r="BS55" s="22">
        <v>20</v>
      </c>
      <c r="BT55" s="27">
        <v>6</v>
      </c>
      <c r="BV55">
        <v>0.14814814814814814</v>
      </c>
      <c r="BW55">
        <v>30.882352941176471</v>
      </c>
      <c r="BX55">
        <v>29.268292682926827</v>
      </c>
      <c r="BY55">
        <v>41.17647058823529</v>
      </c>
      <c r="DQ55" s="94" t="s">
        <v>127</v>
      </c>
      <c r="DR55">
        <v>680</v>
      </c>
      <c r="DS55">
        <v>1</v>
      </c>
      <c r="DT55">
        <v>37</v>
      </c>
      <c r="DU55">
        <v>20</v>
      </c>
      <c r="DV55">
        <f t="shared" si="103"/>
        <v>17</v>
      </c>
      <c r="DW55" s="95">
        <f t="shared" si="104"/>
        <v>54.054054054054056</v>
      </c>
    </row>
    <row r="56" spans="2:127" x14ac:dyDescent="0.2">
      <c r="C56">
        <f t="shared" si="109"/>
        <v>150</v>
      </c>
      <c r="D56">
        <f>K24</f>
        <v>9</v>
      </c>
      <c r="E56">
        <f>J24</f>
        <v>8</v>
      </c>
      <c r="F56">
        <f t="shared" si="110"/>
        <v>0.88888888888888884</v>
      </c>
      <c r="G56">
        <f t="shared" si="111"/>
        <v>0.85</v>
      </c>
      <c r="H56">
        <f t="shared" si="112"/>
        <v>2.1760912590556813</v>
      </c>
      <c r="I56">
        <f t="shared" si="113"/>
        <v>6.0364333894937898</v>
      </c>
      <c r="O56" s="30">
        <v>0.22222222222222221</v>
      </c>
      <c r="P56" s="30">
        <v>0.22</v>
      </c>
      <c r="Q56">
        <f>6-6</f>
        <v>0</v>
      </c>
      <c r="R56" s="2">
        <v>6</v>
      </c>
      <c r="S56" s="1">
        <f>13-9</f>
        <v>4</v>
      </c>
      <c r="T56" s="2">
        <v>9</v>
      </c>
      <c r="U56" s="1">
        <f>7-6</f>
        <v>1</v>
      </c>
      <c r="V56" s="2">
        <v>6</v>
      </c>
      <c r="W56" s="1">
        <f t="shared" si="120"/>
        <v>5</v>
      </c>
      <c r="X56">
        <f t="shared" si="116"/>
        <v>21</v>
      </c>
      <c r="Y56">
        <f t="shared" si="117"/>
        <v>26</v>
      </c>
      <c r="Z56">
        <f t="shared" si="118"/>
        <v>19.230769230769234</v>
      </c>
      <c r="AA56" s="2">
        <f t="shared" si="119"/>
        <v>80.769230769230774</v>
      </c>
      <c r="BM56">
        <v>4</v>
      </c>
      <c r="BN56" s="30">
        <f t="shared" si="121"/>
        <v>0.14814814814814814</v>
      </c>
      <c r="BO56" s="22">
        <v>68</v>
      </c>
      <c r="BP56" s="27">
        <v>21</v>
      </c>
      <c r="BQ56" s="22">
        <v>41</v>
      </c>
      <c r="BR56" s="27">
        <v>12</v>
      </c>
      <c r="BS56" s="22">
        <v>17</v>
      </c>
      <c r="BT56" s="27">
        <v>7</v>
      </c>
      <c r="BV56">
        <v>0.44444444444444442</v>
      </c>
      <c r="BW56">
        <v>29.268292682926827</v>
      </c>
      <c r="BX56">
        <v>32</v>
      </c>
      <c r="BY56">
        <v>21.818181818181817</v>
      </c>
      <c r="DQ56" s="94" t="s">
        <v>127</v>
      </c>
      <c r="DR56">
        <v>680</v>
      </c>
      <c r="DS56">
        <v>2</v>
      </c>
      <c r="DT56">
        <v>28</v>
      </c>
      <c r="DU56">
        <v>13</v>
      </c>
      <c r="DV56">
        <f t="shared" si="103"/>
        <v>15</v>
      </c>
      <c r="DW56" s="95">
        <f t="shared" si="104"/>
        <v>46.428571428571431</v>
      </c>
    </row>
    <row r="57" spans="2:127" x14ac:dyDescent="0.2">
      <c r="C57">
        <f t="shared" si="109"/>
        <v>460</v>
      </c>
      <c r="D57">
        <f>K23</f>
        <v>46</v>
      </c>
      <c r="E57">
        <f>J23</f>
        <v>32</v>
      </c>
      <c r="F57">
        <f t="shared" si="110"/>
        <v>0.69565217391304346</v>
      </c>
      <c r="G57">
        <f t="shared" si="111"/>
        <v>0.69148936170212771</v>
      </c>
      <c r="H57">
        <f t="shared" si="112"/>
        <v>2.6627578316815739</v>
      </c>
      <c r="I57">
        <f t="shared" si="113"/>
        <v>5.5000764089501502</v>
      </c>
      <c r="O57" s="30">
        <v>0.66666666666666663</v>
      </c>
      <c r="P57" s="30">
        <v>0.67</v>
      </c>
      <c r="Q57">
        <f>14-12</f>
        <v>2</v>
      </c>
      <c r="R57" s="2">
        <v>12</v>
      </c>
      <c r="S57" s="1">
        <f>11-8</f>
        <v>3</v>
      </c>
      <c r="T57" s="2">
        <v>8</v>
      </c>
      <c r="U57" s="1">
        <v>3</v>
      </c>
      <c r="V57" s="2">
        <v>10</v>
      </c>
      <c r="W57" s="1">
        <f t="shared" si="120"/>
        <v>8</v>
      </c>
      <c r="X57">
        <f t="shared" si="116"/>
        <v>30</v>
      </c>
      <c r="Y57">
        <f t="shared" si="117"/>
        <v>38</v>
      </c>
      <c r="Z57">
        <f t="shared" si="118"/>
        <v>21.052631578947366</v>
      </c>
      <c r="AA57" s="2">
        <f t="shared" si="119"/>
        <v>78.94736842105263</v>
      </c>
      <c r="BM57">
        <v>3</v>
      </c>
      <c r="BN57" s="30">
        <f t="shared" si="121"/>
        <v>0.44444444444444442</v>
      </c>
      <c r="BO57" s="22">
        <v>82</v>
      </c>
      <c r="BP57" s="27">
        <v>24</v>
      </c>
      <c r="BQ57" s="22">
        <v>25</v>
      </c>
      <c r="BR57" s="27">
        <v>8</v>
      </c>
      <c r="BS57" s="22">
        <v>55</v>
      </c>
      <c r="BT57" s="27">
        <v>12</v>
      </c>
      <c r="BV57">
        <v>1.3333333333333333</v>
      </c>
      <c r="BW57">
        <v>38.095238095238095</v>
      </c>
      <c r="BX57">
        <v>29.629629629629626</v>
      </c>
      <c r="BY57">
        <v>35.135135135135137</v>
      </c>
      <c r="DQ57" s="94" t="s">
        <v>127</v>
      </c>
      <c r="DR57">
        <v>680</v>
      </c>
      <c r="DS57">
        <v>3</v>
      </c>
      <c r="DT57">
        <v>12</v>
      </c>
      <c r="DU57">
        <v>3</v>
      </c>
      <c r="DV57">
        <f t="shared" si="103"/>
        <v>9</v>
      </c>
      <c r="DW57" s="95">
        <f t="shared" si="104"/>
        <v>25</v>
      </c>
    </row>
    <row r="58" spans="2:127" ht="17" thickBot="1" x14ac:dyDescent="0.25">
      <c r="C58">
        <f t="shared" si="109"/>
        <v>1400</v>
      </c>
      <c r="D58">
        <f>K22</f>
        <v>63</v>
      </c>
      <c r="E58">
        <f>J22</f>
        <v>42</v>
      </c>
      <c r="F58">
        <f t="shared" si="110"/>
        <v>0.66666666666666663</v>
      </c>
      <c r="G58">
        <f t="shared" si="111"/>
        <v>0.6640625</v>
      </c>
      <c r="H58">
        <f t="shared" si="112"/>
        <v>3.1461280356782382</v>
      </c>
      <c r="I58">
        <f t="shared" si="113"/>
        <v>5.4235760842011995</v>
      </c>
      <c r="O58" s="31">
        <v>2</v>
      </c>
      <c r="P58" s="33">
        <v>2</v>
      </c>
      <c r="Q58" s="4">
        <f>12-8</f>
        <v>4</v>
      </c>
      <c r="R58" s="5">
        <v>8</v>
      </c>
      <c r="S58" s="3">
        <v>0</v>
      </c>
      <c r="T58" s="5">
        <v>5</v>
      </c>
      <c r="U58" s="3">
        <v>0</v>
      </c>
      <c r="V58" s="5">
        <v>3</v>
      </c>
      <c r="W58" s="1">
        <f t="shared" si="120"/>
        <v>4</v>
      </c>
      <c r="X58" s="4">
        <f t="shared" si="116"/>
        <v>16</v>
      </c>
      <c r="Y58" s="4">
        <f t="shared" si="117"/>
        <v>20</v>
      </c>
      <c r="Z58" s="34">
        <f t="shared" si="118"/>
        <v>20</v>
      </c>
      <c r="AA58" s="5">
        <f t="shared" si="119"/>
        <v>80</v>
      </c>
      <c r="BM58">
        <v>2</v>
      </c>
      <c r="BN58" s="30">
        <f t="shared" si="121"/>
        <v>1.3333333333333333</v>
      </c>
      <c r="BO58" s="22">
        <v>21</v>
      </c>
      <c r="BP58" s="27">
        <v>8</v>
      </c>
      <c r="BQ58" s="22">
        <v>27</v>
      </c>
      <c r="BR58" s="27">
        <v>8</v>
      </c>
      <c r="BS58" s="22">
        <v>37</v>
      </c>
      <c r="BT58" s="27">
        <v>13</v>
      </c>
      <c r="BV58">
        <v>4</v>
      </c>
      <c r="BW58">
        <v>42.105263157894733</v>
      </c>
      <c r="BX58">
        <v>25.581395348837212</v>
      </c>
      <c r="BY58">
        <v>30.555555555555557</v>
      </c>
      <c r="DQ58" s="94" t="s">
        <v>127</v>
      </c>
      <c r="DR58">
        <v>704</v>
      </c>
      <c r="DS58">
        <v>1</v>
      </c>
      <c r="DT58">
        <v>18</v>
      </c>
      <c r="DU58">
        <v>8</v>
      </c>
      <c r="DV58">
        <f t="shared" si="103"/>
        <v>10</v>
      </c>
      <c r="DW58" s="95">
        <f t="shared" si="104"/>
        <v>44.444444444444443</v>
      </c>
    </row>
    <row r="59" spans="2:127" ht="17" thickBot="1" x14ac:dyDescent="0.25">
      <c r="W59" s="26"/>
      <c r="BM59">
        <v>1</v>
      </c>
      <c r="BN59" s="31">
        <f t="shared" si="121"/>
        <v>4</v>
      </c>
      <c r="BO59" s="38">
        <v>19</v>
      </c>
      <c r="BP59" s="35">
        <v>8</v>
      </c>
      <c r="BQ59" s="38">
        <v>43</v>
      </c>
      <c r="BR59" s="35">
        <v>11</v>
      </c>
      <c r="BS59" s="38">
        <v>36</v>
      </c>
      <c r="BT59" s="35">
        <v>11</v>
      </c>
      <c r="DQ59" s="94" t="s">
        <v>127</v>
      </c>
      <c r="DR59">
        <v>704</v>
      </c>
      <c r="DS59">
        <v>2</v>
      </c>
      <c r="DT59">
        <v>19</v>
      </c>
      <c r="DU59">
        <v>7</v>
      </c>
      <c r="DV59">
        <f t="shared" si="103"/>
        <v>12</v>
      </c>
      <c r="DW59" s="95">
        <f t="shared" si="104"/>
        <v>36.84210526315789</v>
      </c>
    </row>
    <row r="60" spans="2:127" ht="17" thickBot="1" x14ac:dyDescent="0.25">
      <c r="C60">
        <f>F46</f>
        <v>0</v>
      </c>
      <c r="D60">
        <f>K31</f>
        <v>36</v>
      </c>
      <c r="E60">
        <f>J31</f>
        <v>10</v>
      </c>
      <c r="F60">
        <f>G35</f>
        <v>28</v>
      </c>
      <c r="G60" t="s">
        <v>27</v>
      </c>
      <c r="BO60" s="106" t="s">
        <v>54</v>
      </c>
      <c r="BP60" s="107"/>
      <c r="BQ60" s="107"/>
      <c r="BR60" s="107"/>
      <c r="BS60" s="107"/>
      <c r="BT60" s="108"/>
      <c r="DQ60" s="94" t="s">
        <v>127</v>
      </c>
      <c r="DR60">
        <v>704</v>
      </c>
      <c r="DS60">
        <v>3</v>
      </c>
      <c r="DT60">
        <v>35</v>
      </c>
      <c r="DU60">
        <v>14</v>
      </c>
      <c r="DV60">
        <f t="shared" si="103"/>
        <v>21</v>
      </c>
      <c r="DW60" s="95">
        <f t="shared" si="104"/>
        <v>40</v>
      </c>
    </row>
    <row r="61" spans="2:127" x14ac:dyDescent="0.2">
      <c r="BN61" s="43" t="s">
        <v>65</v>
      </c>
      <c r="BO61" s="50"/>
      <c r="BP61" s="44" t="s">
        <v>17</v>
      </c>
      <c r="BQ61" s="50"/>
      <c r="BR61" s="44" t="s">
        <v>17</v>
      </c>
      <c r="BS61" s="50"/>
      <c r="BT61" s="44" t="s">
        <v>17</v>
      </c>
      <c r="DQ61" s="94" t="s">
        <v>127</v>
      </c>
      <c r="DR61">
        <v>2049</v>
      </c>
      <c r="DS61">
        <v>1</v>
      </c>
      <c r="DT61">
        <v>16</v>
      </c>
      <c r="DU61">
        <v>6</v>
      </c>
      <c r="DV61">
        <f t="shared" si="103"/>
        <v>10</v>
      </c>
      <c r="DW61" s="95">
        <f t="shared" si="104"/>
        <v>37.5</v>
      </c>
    </row>
    <row r="62" spans="2:127" x14ac:dyDescent="0.2">
      <c r="BN62" s="30">
        <f t="shared" ref="BN62:BN67" si="122">BK11</f>
        <v>0</v>
      </c>
      <c r="BO62" s="47"/>
      <c r="BP62" s="49">
        <f>BP54/BO54*100</f>
        <v>21.739130434782609</v>
      </c>
      <c r="BQ62" s="47"/>
      <c r="BR62" s="49">
        <f>BR54/BQ54*100</f>
        <v>22.222222222222221</v>
      </c>
      <c r="BS62" s="47"/>
      <c r="BT62" s="51">
        <f>BT54/BS54*100</f>
        <v>30</v>
      </c>
      <c r="BX62" t="s">
        <v>96</v>
      </c>
      <c r="DQ62" s="94" t="s">
        <v>127</v>
      </c>
      <c r="DR62">
        <v>2049</v>
      </c>
      <c r="DS62">
        <v>2</v>
      </c>
      <c r="DT62">
        <v>18</v>
      </c>
      <c r="DU62">
        <v>8</v>
      </c>
      <c r="DV62">
        <f t="shared" si="103"/>
        <v>10</v>
      </c>
      <c r="DW62" s="95">
        <f t="shared" si="104"/>
        <v>44.444444444444443</v>
      </c>
    </row>
    <row r="63" spans="2:127" x14ac:dyDescent="0.2">
      <c r="B63" t="s">
        <v>33</v>
      </c>
      <c r="C63" s="20">
        <f>10^((5-4.6931)/0.3938)</f>
        <v>6.0163017305605511</v>
      </c>
      <c r="D63" s="20" t="s">
        <v>32</v>
      </c>
      <c r="BN63" s="30">
        <f t="shared" si="122"/>
        <v>4.9382716049382713E-2</v>
      </c>
      <c r="BO63" s="47"/>
      <c r="BP63" s="49">
        <f t="shared" ref="BP63:BR67" si="123">BP55/BO55*100</f>
        <v>28.205128205128204</v>
      </c>
      <c r="BQ63" s="47"/>
      <c r="BR63" s="49">
        <f t="shared" si="123"/>
        <v>33.333333333333329</v>
      </c>
      <c r="BS63" s="47"/>
      <c r="BT63" s="51">
        <f t="shared" ref="BT63" si="124">BT55/BS55*100</f>
        <v>30</v>
      </c>
      <c r="DQ63" s="94" t="s">
        <v>127</v>
      </c>
      <c r="DR63">
        <v>2049</v>
      </c>
      <c r="DS63">
        <v>3</v>
      </c>
      <c r="DT63">
        <v>16</v>
      </c>
      <c r="DU63">
        <v>8</v>
      </c>
      <c r="DV63">
        <f t="shared" si="103"/>
        <v>8</v>
      </c>
      <c r="DW63" s="95">
        <f t="shared" si="104"/>
        <v>50</v>
      </c>
    </row>
    <row r="64" spans="2:127" x14ac:dyDescent="0.2">
      <c r="BN64" s="30">
        <f t="shared" si="122"/>
        <v>0.14814814814814814</v>
      </c>
      <c r="BO64" s="47"/>
      <c r="BP64" s="49">
        <f t="shared" si="123"/>
        <v>30.882352941176471</v>
      </c>
      <c r="BQ64" s="47"/>
      <c r="BR64" s="49">
        <f t="shared" si="123"/>
        <v>29.268292682926827</v>
      </c>
      <c r="BS64" s="47"/>
      <c r="BT64" s="51">
        <f t="shared" ref="BT64" si="125">BT56/BS56*100</f>
        <v>41.17647058823529</v>
      </c>
      <c r="DQ64" s="94" t="s">
        <v>127</v>
      </c>
      <c r="DR64">
        <v>2111</v>
      </c>
      <c r="DS64">
        <v>1</v>
      </c>
      <c r="DT64">
        <v>21</v>
      </c>
      <c r="DU64">
        <v>12</v>
      </c>
      <c r="DV64">
        <f t="shared" si="103"/>
        <v>9</v>
      </c>
      <c r="DW64" s="95">
        <f t="shared" si="104"/>
        <v>57.142857142857139</v>
      </c>
    </row>
    <row r="65" spans="2:127" x14ac:dyDescent="0.2">
      <c r="BN65" s="30">
        <f t="shared" si="122"/>
        <v>0.44444444444444442</v>
      </c>
      <c r="BO65" s="47"/>
      <c r="BP65" s="49">
        <f t="shared" si="123"/>
        <v>29.268292682926827</v>
      </c>
      <c r="BQ65" s="47"/>
      <c r="BR65" s="49">
        <f t="shared" si="123"/>
        <v>32</v>
      </c>
      <c r="BS65" s="47"/>
      <c r="BT65" s="51">
        <f t="shared" ref="BT65" si="126">BT57/BS57*100</f>
        <v>21.818181818181817</v>
      </c>
      <c r="DQ65" s="94" t="s">
        <v>127</v>
      </c>
      <c r="DR65">
        <v>2111</v>
      </c>
      <c r="DS65">
        <v>2</v>
      </c>
      <c r="DT65">
        <v>18</v>
      </c>
      <c r="DU65">
        <v>8</v>
      </c>
      <c r="DV65">
        <f t="shared" si="103"/>
        <v>10</v>
      </c>
      <c r="DW65" s="95">
        <f t="shared" si="104"/>
        <v>44.444444444444443</v>
      </c>
    </row>
    <row r="66" spans="2:127" x14ac:dyDescent="0.2">
      <c r="BN66" s="30">
        <f t="shared" si="122"/>
        <v>1.3333333333333333</v>
      </c>
      <c r="BO66" s="47"/>
      <c r="BP66" s="49">
        <f t="shared" si="123"/>
        <v>38.095238095238095</v>
      </c>
      <c r="BQ66" s="47"/>
      <c r="BR66" s="49">
        <f t="shared" si="123"/>
        <v>29.629629629629626</v>
      </c>
      <c r="BS66" s="47"/>
      <c r="BT66" s="51">
        <f t="shared" ref="BT66" si="127">BT58/BS58*100</f>
        <v>35.135135135135137</v>
      </c>
      <c r="DQ66" s="94" t="s">
        <v>127</v>
      </c>
      <c r="DR66">
        <v>2111</v>
      </c>
      <c r="DS66">
        <v>3</v>
      </c>
      <c r="DT66">
        <v>21</v>
      </c>
      <c r="DU66">
        <v>9</v>
      </c>
      <c r="DV66">
        <f t="shared" si="103"/>
        <v>12</v>
      </c>
      <c r="DW66" s="95">
        <f t="shared" si="104"/>
        <v>42.857142857142854</v>
      </c>
    </row>
    <row r="67" spans="2:127" ht="17" thickBot="1" x14ac:dyDescent="0.25">
      <c r="BN67" s="31">
        <f t="shared" si="122"/>
        <v>4</v>
      </c>
      <c r="BO67" s="48"/>
      <c r="BP67" s="52">
        <f t="shared" si="123"/>
        <v>42.105263157894733</v>
      </c>
      <c r="BQ67" s="48"/>
      <c r="BR67" s="52">
        <f t="shared" si="123"/>
        <v>25.581395348837212</v>
      </c>
      <c r="BS67" s="48"/>
      <c r="BT67" s="53">
        <f t="shared" ref="BT67" si="128">BT59/BS59*100</f>
        <v>30.555555555555557</v>
      </c>
      <c r="DQ67" s="94" t="s">
        <v>128</v>
      </c>
      <c r="DR67">
        <v>0</v>
      </c>
      <c r="DS67">
        <v>1</v>
      </c>
      <c r="DT67">
        <v>23</v>
      </c>
      <c r="DU67">
        <v>5</v>
      </c>
      <c r="DV67">
        <f>DT67-DU67</f>
        <v>18</v>
      </c>
      <c r="DW67" s="95">
        <f>DU67/DT67*100</f>
        <v>21.739130434782609</v>
      </c>
    </row>
    <row r="68" spans="2:127" ht="17" thickBot="1" x14ac:dyDescent="0.25">
      <c r="B68" t="s">
        <v>34</v>
      </c>
      <c r="DQ68" s="94" t="s">
        <v>128</v>
      </c>
      <c r="DR68">
        <v>0</v>
      </c>
      <c r="DS68">
        <v>2</v>
      </c>
      <c r="DT68">
        <v>18</v>
      </c>
      <c r="DU68">
        <v>4</v>
      </c>
      <c r="DV68">
        <f t="shared" ref="DV68:DV99" si="129">DT68-DU68</f>
        <v>14</v>
      </c>
      <c r="DW68" s="95">
        <f t="shared" ref="DW68:DW99" si="130">DU68/DT68*100</f>
        <v>22.222222222222221</v>
      </c>
    </row>
    <row r="69" spans="2:127" ht="17" thickBot="1" x14ac:dyDescent="0.25">
      <c r="B69" s="115" t="s">
        <v>38</v>
      </c>
      <c r="C69" s="116"/>
      <c r="D69" s="116"/>
      <c r="E69" s="116"/>
      <c r="F69" s="116"/>
      <c r="G69" s="116"/>
      <c r="H69" s="116"/>
      <c r="I69" s="116"/>
      <c r="J69" s="116"/>
      <c r="K69" s="116"/>
      <c r="L69" s="116"/>
      <c r="M69" s="117"/>
      <c r="BS69" t="s">
        <v>87</v>
      </c>
      <c r="DQ69" s="94" t="s">
        <v>128</v>
      </c>
      <c r="DR69">
        <v>0</v>
      </c>
      <c r="DS69">
        <v>3</v>
      </c>
      <c r="DT69">
        <v>30</v>
      </c>
      <c r="DU69">
        <v>9</v>
      </c>
      <c r="DV69">
        <f t="shared" si="129"/>
        <v>21</v>
      </c>
      <c r="DW69" s="95">
        <f t="shared" si="130"/>
        <v>30</v>
      </c>
    </row>
    <row r="70" spans="2:127" x14ac:dyDescent="0.2">
      <c r="B70" s="6" t="s">
        <v>0</v>
      </c>
      <c r="C70" s="118" t="s">
        <v>21</v>
      </c>
      <c r="D70" s="119"/>
      <c r="E70" s="118" t="s">
        <v>22</v>
      </c>
      <c r="F70" s="119"/>
      <c r="G70" s="118" t="s">
        <v>23</v>
      </c>
      <c r="H70" s="120"/>
      <c r="I70" s="121" t="s">
        <v>15</v>
      </c>
      <c r="J70" s="122"/>
      <c r="K70" s="122"/>
      <c r="L70" s="122"/>
      <c r="M70" s="123"/>
      <c r="DQ70" s="94" t="s">
        <v>128</v>
      </c>
      <c r="DR70">
        <v>0</v>
      </c>
      <c r="DS70">
        <v>4</v>
      </c>
      <c r="DT70">
        <v>17</v>
      </c>
      <c r="DU70">
        <v>1</v>
      </c>
      <c r="DV70">
        <f t="shared" si="129"/>
        <v>16</v>
      </c>
      <c r="DW70" s="95">
        <f t="shared" si="130"/>
        <v>5.8823529411764701</v>
      </c>
    </row>
    <row r="71" spans="2:127" x14ac:dyDescent="0.2">
      <c r="B71" s="1"/>
      <c r="C71" s="1" t="s">
        <v>1</v>
      </c>
      <c r="D71" s="2" t="s">
        <v>7</v>
      </c>
      <c r="E71" s="1" t="s">
        <v>2</v>
      </c>
      <c r="F71" s="2" t="s">
        <v>8</v>
      </c>
      <c r="G71" s="1" t="s">
        <v>3</v>
      </c>
      <c r="H71" s="2" t="s">
        <v>6</v>
      </c>
      <c r="I71" s="1" t="s">
        <v>4</v>
      </c>
      <c r="J71" t="s">
        <v>9</v>
      </c>
      <c r="K71" t="s">
        <v>5</v>
      </c>
      <c r="L71" t="s">
        <v>16</v>
      </c>
      <c r="M71" s="2" t="s">
        <v>17</v>
      </c>
      <c r="BL71" t="s">
        <v>24</v>
      </c>
      <c r="BM71" t="s">
        <v>26</v>
      </c>
      <c r="BN71" t="s">
        <v>20</v>
      </c>
      <c r="BO71" t="s">
        <v>25</v>
      </c>
      <c r="BP71" t="s">
        <v>17</v>
      </c>
      <c r="BQ71" t="s">
        <v>28</v>
      </c>
      <c r="BR71" t="s">
        <v>29</v>
      </c>
      <c r="BS71" t="s">
        <v>30</v>
      </c>
      <c r="BU71" t="s">
        <v>24</v>
      </c>
      <c r="BV71" t="s">
        <v>26</v>
      </c>
      <c r="BW71" t="s">
        <v>20</v>
      </c>
      <c r="BX71" t="s">
        <v>25</v>
      </c>
      <c r="BY71" t="s">
        <v>17</v>
      </c>
      <c r="BZ71" t="s">
        <v>28</v>
      </c>
      <c r="CA71" t="s">
        <v>29</v>
      </c>
      <c r="CB71" t="s">
        <v>30</v>
      </c>
      <c r="CD71" t="s">
        <v>24</v>
      </c>
      <c r="CE71" t="s">
        <v>26</v>
      </c>
      <c r="CF71" t="s">
        <v>20</v>
      </c>
      <c r="CG71" t="s">
        <v>25</v>
      </c>
      <c r="CH71" t="s">
        <v>17</v>
      </c>
      <c r="CI71" t="s">
        <v>28</v>
      </c>
      <c r="CJ71" t="s">
        <v>29</v>
      </c>
      <c r="CK71" t="s">
        <v>30</v>
      </c>
      <c r="DQ71" s="94" t="s">
        <v>128</v>
      </c>
      <c r="DR71">
        <v>0</v>
      </c>
      <c r="DS71">
        <v>5</v>
      </c>
      <c r="DT71">
        <v>27</v>
      </c>
      <c r="DU71">
        <v>4</v>
      </c>
      <c r="DV71">
        <f t="shared" si="129"/>
        <v>23</v>
      </c>
      <c r="DW71" s="95">
        <f t="shared" si="130"/>
        <v>14.814814814814813</v>
      </c>
    </row>
    <row r="72" spans="2:127" x14ac:dyDescent="0.2">
      <c r="B72" s="1">
        <v>4</v>
      </c>
      <c r="C72" s="1">
        <v>1</v>
      </c>
      <c r="D72" s="2">
        <v>9</v>
      </c>
      <c r="E72" s="1">
        <f>10-8</f>
        <v>2</v>
      </c>
      <c r="F72" s="2">
        <v>8</v>
      </c>
      <c r="G72" s="1">
        <v>2</v>
      </c>
      <c r="H72" s="2">
        <v>18</v>
      </c>
      <c r="I72" s="1">
        <f>C72+E72+G72</f>
        <v>5</v>
      </c>
      <c r="J72">
        <f>D72+F72+H72</f>
        <v>35</v>
      </c>
      <c r="K72">
        <f>C72+D72+E72+F72+G72+H72</f>
        <v>40</v>
      </c>
      <c r="L72">
        <f>I72/K72*100</f>
        <v>12.5</v>
      </c>
      <c r="M72" s="2">
        <f t="shared" ref="M72:M75" si="131">J72/K72*100</f>
        <v>87.5</v>
      </c>
      <c r="BM72">
        <f t="shared" ref="BM72:BM77" si="132">BN62</f>
        <v>0</v>
      </c>
      <c r="BN72">
        <f t="shared" ref="BN72:BO77" si="133">BO54</f>
        <v>23</v>
      </c>
      <c r="BO72">
        <f t="shared" si="133"/>
        <v>5</v>
      </c>
      <c r="BP72">
        <f>BO72/BN72*100</f>
        <v>21.739130434782609</v>
      </c>
      <c r="BQ72">
        <f>(BO72+0.5)/(BN72+1)</f>
        <v>0.22916666666666666</v>
      </c>
      <c r="BR72" t="e">
        <f>LOG10(BM72)</f>
        <v>#NUM!</v>
      </c>
      <c r="BS72">
        <f>_xlfn.NORM.S.INV(BQ72)+5</f>
        <v>4.2584059561384837</v>
      </c>
      <c r="BV72">
        <f>BM72</f>
        <v>0</v>
      </c>
      <c r="BW72">
        <f t="shared" ref="BW72:BX77" si="134">BQ54</f>
        <v>18</v>
      </c>
      <c r="BX72">
        <f t="shared" si="134"/>
        <v>4</v>
      </c>
      <c r="BY72">
        <f>BX72/BW72*100</f>
        <v>22.222222222222221</v>
      </c>
      <c r="BZ72">
        <f>(BX72+0.5)/(BW72+1)</f>
        <v>0.23684210526315788</v>
      </c>
      <c r="CA72" t="e">
        <f>LOG10(BV72)</f>
        <v>#NUM!</v>
      </c>
      <c r="CB72">
        <f>_xlfn.NORM.S.INV(BZ72)+5</f>
        <v>4.2835024998220081</v>
      </c>
      <c r="CE72">
        <f>BV72</f>
        <v>0</v>
      </c>
      <c r="CF72">
        <f t="shared" ref="CF72:CG77" si="135">BS54</f>
        <v>30</v>
      </c>
      <c r="CG72">
        <f t="shared" si="135"/>
        <v>9</v>
      </c>
      <c r="CH72">
        <f>CG72/CF72*100</f>
        <v>30</v>
      </c>
      <c r="CI72">
        <f>(CG72+0.5)/(CF72+1)</f>
        <v>0.30645161290322581</v>
      </c>
      <c r="CJ72" t="e">
        <f>LOG10(CE72)</f>
        <v>#NUM!</v>
      </c>
      <c r="CK72">
        <f>_xlfn.NORM.S.INV(CI72)+5</f>
        <v>4.4940663458341881</v>
      </c>
      <c r="DQ72" s="94" t="s">
        <v>128</v>
      </c>
      <c r="DR72">
        <v>0</v>
      </c>
      <c r="DS72">
        <v>6</v>
      </c>
      <c r="DT72">
        <v>18</v>
      </c>
      <c r="DU72">
        <v>0</v>
      </c>
      <c r="DV72">
        <f t="shared" si="129"/>
        <v>18</v>
      </c>
      <c r="DW72" s="95">
        <f t="shared" si="130"/>
        <v>0</v>
      </c>
    </row>
    <row r="73" spans="2:127" x14ac:dyDescent="0.2">
      <c r="B73" s="1">
        <f t="shared" ref="B73:B76" si="136">B37</f>
        <v>0.46296296296296291</v>
      </c>
      <c r="C73" s="1">
        <f>14-12</f>
        <v>2</v>
      </c>
      <c r="D73" s="2">
        <v>12</v>
      </c>
      <c r="E73" s="1">
        <v>0</v>
      </c>
      <c r="F73" s="2">
        <v>15</v>
      </c>
      <c r="G73" s="1">
        <v>0</v>
      </c>
      <c r="H73" s="2">
        <v>10</v>
      </c>
      <c r="I73" s="1">
        <f t="shared" ref="I73" si="137">C73+E73+G73</f>
        <v>2</v>
      </c>
      <c r="J73">
        <f t="shared" ref="J73:J75" si="138">D73+F73+H73</f>
        <v>37</v>
      </c>
      <c r="K73">
        <f t="shared" ref="K73:K75" si="139">C73+D73+E73+F73+G73+H73</f>
        <v>39</v>
      </c>
      <c r="L73">
        <f t="shared" ref="L73:L75" si="140">I73/K73*100</f>
        <v>5.1282051282051277</v>
      </c>
      <c r="M73" s="2">
        <f t="shared" si="131"/>
        <v>94.871794871794862</v>
      </c>
      <c r="BM73">
        <f t="shared" si="132"/>
        <v>4.9382716049382713E-2</v>
      </c>
      <c r="BN73">
        <f t="shared" si="133"/>
        <v>39</v>
      </c>
      <c r="BO73">
        <f t="shared" si="133"/>
        <v>11</v>
      </c>
      <c r="BP73">
        <f t="shared" ref="BP73:BP77" si="141">BO73/BN73*100</f>
        <v>28.205128205128204</v>
      </c>
      <c r="BQ73">
        <f t="shared" ref="BQ73:BQ77" si="142">(BO73+0.5)/(BN73+1)</f>
        <v>0.28749999999999998</v>
      </c>
      <c r="BR73">
        <f t="shared" ref="BR73:BR77" si="143">LOG10(BM73)</f>
        <v>-1.3064250275506875</v>
      </c>
      <c r="BS73">
        <f t="shared" ref="BS73:BS77" si="144">_xlfn.NORM.S.INV(BQ73)+5</f>
        <v>4.4392969681249168</v>
      </c>
      <c r="BV73">
        <f t="shared" ref="BV73:BV77" si="145">BM73</f>
        <v>4.9382716049382713E-2</v>
      </c>
      <c r="BW73">
        <f t="shared" si="134"/>
        <v>24</v>
      </c>
      <c r="BX73">
        <f t="shared" si="134"/>
        <v>8</v>
      </c>
      <c r="BY73">
        <f t="shared" ref="BY73:BY77" si="146">BX73/BW73*100</f>
        <v>33.333333333333329</v>
      </c>
      <c r="BZ73">
        <f t="shared" ref="BZ73:BZ77" si="147">(BX73+0.5)/(BW73+1)</f>
        <v>0.34</v>
      </c>
      <c r="CA73">
        <f t="shared" ref="CA73:CA77" si="148">LOG10(BV73)</f>
        <v>-1.3064250275506875</v>
      </c>
      <c r="CB73">
        <f t="shared" ref="CB73:CB77" si="149">_xlfn.NORM.S.INV(BZ73)+5</f>
        <v>4.587536870558595</v>
      </c>
      <c r="CE73">
        <f t="shared" ref="CE73:CE77" si="150">BV73</f>
        <v>4.9382716049382713E-2</v>
      </c>
      <c r="CF73">
        <f t="shared" si="135"/>
        <v>20</v>
      </c>
      <c r="CG73">
        <f t="shared" si="135"/>
        <v>6</v>
      </c>
      <c r="CH73">
        <f t="shared" ref="CH73:CH77" si="151">CG73/CF73*100</f>
        <v>30</v>
      </c>
      <c r="CI73">
        <f t="shared" ref="CI73:CI77" si="152">(CG73+0.5)/(CF73+1)</f>
        <v>0.30952380952380953</v>
      </c>
      <c r="CJ73">
        <f t="shared" ref="CJ73:CJ77" si="153">LOG10(CE73)</f>
        <v>-1.3064250275506875</v>
      </c>
      <c r="CK73">
        <f t="shared" ref="CK73:CK77" si="154">_xlfn.NORM.S.INV(CI73)+5</f>
        <v>4.5027994293184461</v>
      </c>
      <c r="DQ73" s="94" t="s">
        <v>128</v>
      </c>
      <c r="DR73">
        <v>49</v>
      </c>
      <c r="DS73">
        <v>1</v>
      </c>
      <c r="DT73">
        <v>39</v>
      </c>
      <c r="DU73">
        <v>11</v>
      </c>
      <c r="DV73">
        <f t="shared" si="129"/>
        <v>28</v>
      </c>
      <c r="DW73" s="95">
        <f t="shared" si="130"/>
        <v>28.205128205128204</v>
      </c>
    </row>
    <row r="74" spans="2:127" x14ac:dyDescent="0.2">
      <c r="B74" s="1">
        <f t="shared" si="136"/>
        <v>0.15432098765432098</v>
      </c>
      <c r="C74" s="1">
        <f>21-15</f>
        <v>6</v>
      </c>
      <c r="D74" s="2">
        <v>15</v>
      </c>
      <c r="E74" s="1">
        <f>10-8</f>
        <v>2</v>
      </c>
      <c r="F74" s="2">
        <v>8</v>
      </c>
      <c r="G74" s="1">
        <v>5</v>
      </c>
      <c r="H74" s="2">
        <v>12</v>
      </c>
      <c r="I74" s="1">
        <f>C74+E74+G74</f>
        <v>13</v>
      </c>
      <c r="J74">
        <f t="shared" si="138"/>
        <v>35</v>
      </c>
      <c r="K74">
        <f t="shared" si="139"/>
        <v>48</v>
      </c>
      <c r="L74">
        <f t="shared" si="140"/>
        <v>27.083333333333332</v>
      </c>
      <c r="M74" s="2">
        <f t="shared" si="131"/>
        <v>72.916666666666657</v>
      </c>
      <c r="BM74">
        <f t="shared" si="132"/>
        <v>0.14814814814814814</v>
      </c>
      <c r="BN74">
        <f t="shared" si="133"/>
        <v>68</v>
      </c>
      <c r="BO74">
        <f t="shared" si="133"/>
        <v>21</v>
      </c>
      <c r="BP74">
        <f t="shared" si="141"/>
        <v>30.882352941176471</v>
      </c>
      <c r="BQ74">
        <f t="shared" si="142"/>
        <v>0.31159420289855072</v>
      </c>
      <c r="BR74">
        <f t="shared" si="143"/>
        <v>-0.82930377283102497</v>
      </c>
      <c r="BS74">
        <f t="shared" si="144"/>
        <v>4.5086634116738615</v>
      </c>
      <c r="BV74">
        <f t="shared" si="145"/>
        <v>0.14814814814814814</v>
      </c>
      <c r="BW74">
        <f t="shared" si="134"/>
        <v>41</v>
      </c>
      <c r="BX74">
        <f t="shared" si="134"/>
        <v>12</v>
      </c>
      <c r="BY74">
        <f t="shared" si="146"/>
        <v>29.268292682926827</v>
      </c>
      <c r="BZ74">
        <f t="shared" si="147"/>
        <v>0.29761904761904762</v>
      </c>
      <c r="CA74">
        <f t="shared" si="148"/>
        <v>-0.82930377283102497</v>
      </c>
      <c r="CB74">
        <f t="shared" si="149"/>
        <v>4.4687392426364259</v>
      </c>
      <c r="CE74">
        <f t="shared" si="150"/>
        <v>0.14814814814814814</v>
      </c>
      <c r="CF74">
        <f t="shared" si="135"/>
        <v>17</v>
      </c>
      <c r="CG74">
        <f t="shared" si="135"/>
        <v>7</v>
      </c>
      <c r="CH74">
        <f t="shared" si="151"/>
        <v>41.17647058823529</v>
      </c>
      <c r="CI74">
        <f t="shared" si="152"/>
        <v>0.41666666666666669</v>
      </c>
      <c r="CJ74">
        <f t="shared" si="153"/>
        <v>-0.82930377283102497</v>
      </c>
      <c r="CK74">
        <f t="shared" si="154"/>
        <v>4.7895716057520756</v>
      </c>
      <c r="DQ74" s="94" t="s">
        <v>128</v>
      </c>
      <c r="DR74">
        <v>49</v>
      </c>
      <c r="DS74">
        <v>2</v>
      </c>
      <c r="DT74">
        <v>24</v>
      </c>
      <c r="DU74">
        <v>8</v>
      </c>
      <c r="DV74">
        <f t="shared" si="129"/>
        <v>16</v>
      </c>
      <c r="DW74" s="95">
        <f t="shared" si="130"/>
        <v>33.333333333333329</v>
      </c>
    </row>
    <row r="75" spans="2:127" x14ac:dyDescent="0.2">
      <c r="B75" s="1">
        <f t="shared" si="136"/>
        <v>5.1440329218106991E-2</v>
      </c>
      <c r="C75" s="1">
        <v>4</v>
      </c>
      <c r="D75" s="2">
        <v>14</v>
      </c>
      <c r="E75" s="1">
        <v>0</v>
      </c>
      <c r="F75" s="2">
        <v>6</v>
      </c>
      <c r="G75" s="1">
        <v>0</v>
      </c>
      <c r="H75" s="2">
        <v>12</v>
      </c>
      <c r="I75" s="1">
        <f t="shared" ref="I75" si="155">C75+E75+G75</f>
        <v>4</v>
      </c>
      <c r="J75">
        <f t="shared" si="138"/>
        <v>32</v>
      </c>
      <c r="K75">
        <f t="shared" si="139"/>
        <v>36</v>
      </c>
      <c r="L75">
        <f t="shared" si="140"/>
        <v>11.111111111111111</v>
      </c>
      <c r="M75" s="2">
        <f t="shared" si="131"/>
        <v>88.888888888888886</v>
      </c>
      <c r="BM75">
        <f t="shared" si="132"/>
        <v>0.44444444444444442</v>
      </c>
      <c r="BN75">
        <f t="shared" si="133"/>
        <v>82</v>
      </c>
      <c r="BO75">
        <f t="shared" si="133"/>
        <v>24</v>
      </c>
      <c r="BP75">
        <f t="shared" si="141"/>
        <v>29.268292682926827</v>
      </c>
      <c r="BQ75">
        <f t="shared" si="142"/>
        <v>0.29518072289156627</v>
      </c>
      <c r="BR75">
        <f t="shared" si="143"/>
        <v>-0.35218251811136253</v>
      </c>
      <c r="BS75">
        <f t="shared" si="144"/>
        <v>4.4616876778305663</v>
      </c>
      <c r="BV75">
        <f t="shared" si="145"/>
        <v>0.44444444444444442</v>
      </c>
      <c r="BW75">
        <f t="shared" si="134"/>
        <v>25</v>
      </c>
      <c r="BX75">
        <f t="shared" si="134"/>
        <v>8</v>
      </c>
      <c r="BY75">
        <f t="shared" si="146"/>
        <v>32</v>
      </c>
      <c r="BZ75">
        <f t="shared" si="147"/>
        <v>0.32692307692307693</v>
      </c>
      <c r="CA75">
        <f t="shared" si="148"/>
        <v>-0.35218251811136253</v>
      </c>
      <c r="CB75">
        <f t="shared" si="149"/>
        <v>4.5515745166940649</v>
      </c>
      <c r="CE75">
        <f t="shared" si="150"/>
        <v>0.44444444444444442</v>
      </c>
      <c r="CF75">
        <f t="shared" si="135"/>
        <v>55</v>
      </c>
      <c r="CG75">
        <f t="shared" si="135"/>
        <v>12</v>
      </c>
      <c r="CH75">
        <f t="shared" si="151"/>
        <v>21.818181818181817</v>
      </c>
      <c r="CI75">
        <f t="shared" si="152"/>
        <v>0.22321428571428573</v>
      </c>
      <c r="CJ75">
        <f t="shared" si="153"/>
        <v>-0.35218251811136253</v>
      </c>
      <c r="CK75">
        <f t="shared" si="154"/>
        <v>4.2386173903135749</v>
      </c>
      <c r="DQ75" s="94" t="s">
        <v>128</v>
      </c>
      <c r="DR75">
        <v>49</v>
      </c>
      <c r="DS75">
        <v>3</v>
      </c>
      <c r="DT75">
        <v>20</v>
      </c>
      <c r="DU75">
        <v>6</v>
      </c>
      <c r="DV75">
        <f t="shared" si="129"/>
        <v>14</v>
      </c>
      <c r="DW75" s="95">
        <f t="shared" si="130"/>
        <v>30</v>
      </c>
    </row>
    <row r="76" spans="2:127" x14ac:dyDescent="0.2">
      <c r="B76" s="1">
        <f t="shared" si="136"/>
        <v>1.7146776406035666E-2</v>
      </c>
      <c r="C76" s="1">
        <v>2</v>
      </c>
      <c r="D76" s="2">
        <v>9</v>
      </c>
      <c r="E76" s="1">
        <v>3</v>
      </c>
      <c r="F76" s="2">
        <v>9</v>
      </c>
      <c r="G76" s="1">
        <v>1</v>
      </c>
      <c r="H76" s="2">
        <v>5</v>
      </c>
      <c r="I76" s="1">
        <f t="shared" ref="I76" si="156">C76+E76+G76</f>
        <v>6</v>
      </c>
      <c r="J76">
        <f t="shared" ref="J76" si="157">D76+F76+H76</f>
        <v>23</v>
      </c>
      <c r="K76">
        <f t="shared" ref="K76" si="158">C76+D76+E76+F76+G76+H76</f>
        <v>29</v>
      </c>
      <c r="L76">
        <f t="shared" ref="L76" si="159">I76/K76*100</f>
        <v>20.689655172413794</v>
      </c>
      <c r="M76" s="2">
        <f t="shared" ref="M76" si="160">J76/K76*100</f>
        <v>79.310344827586206</v>
      </c>
      <c r="N76" s="21"/>
      <c r="P76" t="s">
        <v>24</v>
      </c>
      <c r="Q76" t="s">
        <v>26</v>
      </c>
      <c r="R76" t="s">
        <v>20</v>
      </c>
      <c r="S76" t="s">
        <v>25</v>
      </c>
      <c r="T76" t="s">
        <v>17</v>
      </c>
      <c r="U76" t="s">
        <v>28</v>
      </c>
      <c r="V76" t="s">
        <v>29</v>
      </c>
      <c r="W76" t="s">
        <v>30</v>
      </c>
      <c r="BM76">
        <f t="shared" si="132"/>
        <v>1.3333333333333333</v>
      </c>
      <c r="BN76">
        <f t="shared" si="133"/>
        <v>21</v>
      </c>
      <c r="BO76">
        <f t="shared" si="133"/>
        <v>8</v>
      </c>
      <c r="BP76">
        <f t="shared" si="141"/>
        <v>38.095238095238095</v>
      </c>
      <c r="BQ76">
        <f t="shared" si="142"/>
        <v>0.38636363636363635</v>
      </c>
      <c r="BR76">
        <f t="shared" si="143"/>
        <v>0.12493873660829993</v>
      </c>
      <c r="BS76">
        <f t="shared" si="144"/>
        <v>4.7111906449255363</v>
      </c>
      <c r="BV76">
        <f t="shared" si="145"/>
        <v>1.3333333333333333</v>
      </c>
      <c r="BW76">
        <f t="shared" si="134"/>
        <v>27</v>
      </c>
      <c r="BX76">
        <f t="shared" si="134"/>
        <v>8</v>
      </c>
      <c r="BY76">
        <f t="shared" si="146"/>
        <v>29.629629629629626</v>
      </c>
      <c r="BZ76">
        <f t="shared" si="147"/>
        <v>0.30357142857142855</v>
      </c>
      <c r="CA76">
        <f t="shared" si="148"/>
        <v>0.12493873660829993</v>
      </c>
      <c r="CB76">
        <f t="shared" si="149"/>
        <v>4.4858438992554657</v>
      </c>
      <c r="CE76">
        <f t="shared" si="150"/>
        <v>1.3333333333333333</v>
      </c>
      <c r="CF76">
        <f t="shared" si="135"/>
        <v>37</v>
      </c>
      <c r="CG76">
        <f t="shared" si="135"/>
        <v>13</v>
      </c>
      <c r="CH76">
        <f t="shared" si="151"/>
        <v>35.135135135135137</v>
      </c>
      <c r="CI76">
        <f t="shared" si="152"/>
        <v>0.35526315789473684</v>
      </c>
      <c r="CJ76">
        <f t="shared" si="153"/>
        <v>0.12493873660829993</v>
      </c>
      <c r="CK76">
        <f t="shared" si="154"/>
        <v>4.6288506767977164</v>
      </c>
      <c r="DQ76" s="94" t="s">
        <v>128</v>
      </c>
      <c r="DR76">
        <v>77</v>
      </c>
      <c r="DS76">
        <v>1</v>
      </c>
      <c r="DT76">
        <v>28</v>
      </c>
      <c r="DU76">
        <v>6</v>
      </c>
      <c r="DV76">
        <f t="shared" si="129"/>
        <v>22</v>
      </c>
      <c r="DW76" s="95">
        <f t="shared" si="130"/>
        <v>21.428571428571427</v>
      </c>
    </row>
    <row r="77" spans="2:127" ht="17" thickBot="1" x14ac:dyDescent="0.25">
      <c r="B77" s="3">
        <v>0</v>
      </c>
      <c r="C77" s="3">
        <v>25</v>
      </c>
      <c r="D77" s="5">
        <v>13</v>
      </c>
      <c r="E77" s="3">
        <v>17</v>
      </c>
      <c r="F77" s="5">
        <v>7</v>
      </c>
      <c r="G77" s="3">
        <v>4</v>
      </c>
      <c r="H77" s="5">
        <v>5</v>
      </c>
      <c r="I77" s="3">
        <f>C77+E77+G77</f>
        <v>46</v>
      </c>
      <c r="J77" s="4">
        <f>D77+F77+H77</f>
        <v>25</v>
      </c>
      <c r="K77" s="4">
        <f>C77+D77+E77+F77+G77+H77</f>
        <v>71</v>
      </c>
      <c r="L77" s="4">
        <f>I77/K77*100</f>
        <v>64.788732394366207</v>
      </c>
      <c r="M77" s="5">
        <f>J77/K77*100</f>
        <v>35.2112676056338</v>
      </c>
      <c r="Q77">
        <v>9.9999999999999995E-7</v>
      </c>
      <c r="R77">
        <f>Y51</f>
        <v>212</v>
      </c>
      <c r="S77">
        <f>X51</f>
        <v>83</v>
      </c>
      <c r="T77">
        <f>AA51</f>
        <v>39.150943396226417</v>
      </c>
      <c r="U77">
        <f>(S77+0.5)/(R77+1)</f>
        <v>0.392018779342723</v>
      </c>
      <c r="V77">
        <f>LOG10(Q77)</f>
        <v>-6</v>
      </c>
      <c r="W77">
        <f>_xlfn.NORM.S.INV(U77)+5</f>
        <v>4.7259387585479038</v>
      </c>
      <c r="BM77">
        <f t="shared" si="132"/>
        <v>4</v>
      </c>
      <c r="BN77">
        <f t="shared" si="133"/>
        <v>19</v>
      </c>
      <c r="BO77">
        <f t="shared" si="133"/>
        <v>8</v>
      </c>
      <c r="BP77">
        <f t="shared" si="141"/>
        <v>42.105263157894733</v>
      </c>
      <c r="BQ77">
        <f t="shared" si="142"/>
        <v>0.42499999999999999</v>
      </c>
      <c r="BR77">
        <f t="shared" si="143"/>
        <v>0.6020599913279624</v>
      </c>
      <c r="BS77">
        <f t="shared" si="144"/>
        <v>4.8108815737272073</v>
      </c>
      <c r="BV77">
        <f t="shared" si="145"/>
        <v>4</v>
      </c>
      <c r="BW77">
        <f t="shared" si="134"/>
        <v>43</v>
      </c>
      <c r="BX77">
        <f t="shared" si="134"/>
        <v>11</v>
      </c>
      <c r="BY77">
        <f t="shared" si="146"/>
        <v>25.581395348837212</v>
      </c>
      <c r="BZ77">
        <f t="shared" si="147"/>
        <v>0.26136363636363635</v>
      </c>
      <c r="CA77">
        <f t="shared" si="148"/>
        <v>0.6020599913279624</v>
      </c>
      <c r="CB77">
        <f t="shared" si="149"/>
        <v>4.3608529474035276</v>
      </c>
      <c r="CE77">
        <f t="shared" si="150"/>
        <v>4</v>
      </c>
      <c r="CF77">
        <f t="shared" si="135"/>
        <v>36</v>
      </c>
      <c r="CG77">
        <f t="shared" si="135"/>
        <v>11</v>
      </c>
      <c r="CH77">
        <f t="shared" si="151"/>
        <v>30.555555555555557</v>
      </c>
      <c r="CI77">
        <f t="shared" si="152"/>
        <v>0.3108108108108108</v>
      </c>
      <c r="CJ77">
        <f t="shared" si="153"/>
        <v>0.6020599913279624</v>
      </c>
      <c r="CK77">
        <f t="shared" si="154"/>
        <v>4.5064466049104546</v>
      </c>
      <c r="DQ77" s="94" t="s">
        <v>128</v>
      </c>
      <c r="DR77">
        <v>77</v>
      </c>
      <c r="DS77">
        <v>2</v>
      </c>
      <c r="DT77">
        <v>20</v>
      </c>
      <c r="DU77">
        <v>2</v>
      </c>
      <c r="DV77">
        <f t="shared" si="129"/>
        <v>18</v>
      </c>
      <c r="DW77" s="95">
        <f t="shared" si="130"/>
        <v>10</v>
      </c>
    </row>
    <row r="78" spans="2:127" x14ac:dyDescent="0.2">
      <c r="Q78">
        <f>P52*1000</f>
        <v>2.7</v>
      </c>
      <c r="R78">
        <f t="shared" ref="R78:R84" si="161">Y52</f>
        <v>38</v>
      </c>
      <c r="S78">
        <f t="shared" ref="S78:S84" si="162">X52</f>
        <v>22</v>
      </c>
      <c r="T78">
        <f t="shared" ref="T78:T84" si="163">AA52</f>
        <v>57.894736842105267</v>
      </c>
      <c r="U78">
        <f>(S78+0.5)/(R78+1)</f>
        <v>0.57692307692307687</v>
      </c>
      <c r="V78">
        <f>LOG10(Q78)</f>
        <v>0.43136376415898736</v>
      </c>
      <c r="W78">
        <f>_xlfn.NORM.S.INV(U78)+5</f>
        <v>5.1940281424239263</v>
      </c>
      <c r="DQ78" s="94" t="s">
        <v>128</v>
      </c>
      <c r="DR78">
        <v>77</v>
      </c>
      <c r="DS78">
        <v>3</v>
      </c>
      <c r="DT78">
        <v>29</v>
      </c>
      <c r="DU78">
        <v>4</v>
      </c>
      <c r="DV78">
        <f t="shared" si="129"/>
        <v>25</v>
      </c>
      <c r="DW78" s="95">
        <f t="shared" si="130"/>
        <v>13.793103448275861</v>
      </c>
    </row>
    <row r="79" spans="2:127" ht="17" thickBot="1" x14ac:dyDescent="0.25">
      <c r="Q79">
        <f t="shared" ref="Q79:Q84" si="164">P53*1000</f>
        <v>8.2000000000000011</v>
      </c>
      <c r="R79">
        <f t="shared" si="161"/>
        <v>53</v>
      </c>
      <c r="S79">
        <f t="shared" si="162"/>
        <v>35</v>
      </c>
      <c r="T79">
        <f t="shared" si="163"/>
        <v>66.037735849056602</v>
      </c>
      <c r="U79">
        <f t="shared" ref="U79:U84" si="165">(S79+0.5)/(R79+1)</f>
        <v>0.65740740740740744</v>
      </c>
      <c r="V79">
        <f t="shared" ref="V79:V84" si="166">LOG10(Q79)</f>
        <v>0.91381385238371671</v>
      </c>
      <c r="W79">
        <f t="shared" ref="W79:W84" si="167">_xlfn.NORM.S.INV(U79)+5</f>
        <v>5.4053977219782405</v>
      </c>
      <c r="BL79" t="s">
        <v>33</v>
      </c>
      <c r="BM79" s="20"/>
      <c r="BN79" s="20" t="s">
        <v>40</v>
      </c>
      <c r="BU79" t="s">
        <v>33</v>
      </c>
      <c r="BV79" s="20"/>
      <c r="BW79" s="20" t="s">
        <v>40</v>
      </c>
      <c r="CD79" t="s">
        <v>33</v>
      </c>
      <c r="CE79" s="20"/>
      <c r="CF79" s="20" t="s">
        <v>40</v>
      </c>
      <c r="DQ79" s="94" t="s">
        <v>128</v>
      </c>
      <c r="DR79">
        <v>148</v>
      </c>
      <c r="DS79">
        <v>1</v>
      </c>
      <c r="DT79">
        <v>68</v>
      </c>
      <c r="DU79">
        <v>21</v>
      </c>
      <c r="DV79">
        <f t="shared" si="129"/>
        <v>47</v>
      </c>
      <c r="DW79" s="95">
        <f t="shared" si="130"/>
        <v>30.882352941176471</v>
      </c>
    </row>
    <row r="80" spans="2:127" x14ac:dyDescent="0.2">
      <c r="B80" s="13" t="s">
        <v>0</v>
      </c>
      <c r="C80" s="14" t="s">
        <v>17</v>
      </c>
      <c r="D80" s="16"/>
      <c r="E80" s="17"/>
      <c r="F80" s="16"/>
      <c r="G80" s="14"/>
      <c r="Q80">
        <f t="shared" si="164"/>
        <v>25</v>
      </c>
      <c r="R80">
        <f t="shared" si="161"/>
        <v>57</v>
      </c>
      <c r="S80">
        <f t="shared" si="162"/>
        <v>42</v>
      </c>
      <c r="T80">
        <f t="shared" si="163"/>
        <v>73.68421052631578</v>
      </c>
      <c r="U80">
        <f t="shared" si="165"/>
        <v>0.73275862068965514</v>
      </c>
      <c r="V80">
        <f t="shared" si="166"/>
        <v>1.3979400086720377</v>
      </c>
      <c r="W80">
        <f t="shared" si="167"/>
        <v>5.6211776264313524</v>
      </c>
      <c r="DQ80" s="94" t="s">
        <v>128</v>
      </c>
      <c r="DR80">
        <v>148</v>
      </c>
      <c r="DS80">
        <v>2</v>
      </c>
      <c r="DT80">
        <v>41</v>
      </c>
      <c r="DU80">
        <v>12</v>
      </c>
      <c r="DV80">
        <f t="shared" si="129"/>
        <v>29</v>
      </c>
      <c r="DW80" s="95">
        <f t="shared" si="130"/>
        <v>29.268292682926827</v>
      </c>
    </row>
    <row r="81" spans="2:127" x14ac:dyDescent="0.2">
      <c r="B81" s="1">
        <f>B72</f>
        <v>4</v>
      </c>
      <c r="C81" s="11">
        <f t="shared" ref="C81:C86" si="168">M72</f>
        <v>87.5</v>
      </c>
      <c r="D81" cm="1">
        <f t="array" ref="D81:D86">_xlfn.SORTBY(B81:B86,ROW(B81:B86),-1)</f>
        <v>0</v>
      </c>
      <c r="E81" cm="1">
        <f t="array" ref="E81:E86">_xlfn.SORTBY(C81:C86,ROW(C81:C86),-1)</f>
        <v>35.2112676056338</v>
      </c>
      <c r="F81" s="1">
        <f>IF(D81=0,0,ROUND(D81,2-1-INT(LOG10(ABS(D81)))))</f>
        <v>0</v>
      </c>
      <c r="G81" s="2">
        <f t="shared" ref="G81:G86" si="169">IF(E81=0,0,ROUND(E81,2-1-INT(LOG10(ABS(E81)))))</f>
        <v>35</v>
      </c>
      <c r="Q81">
        <f t="shared" si="164"/>
        <v>74</v>
      </c>
      <c r="R81">
        <f t="shared" si="161"/>
        <v>22</v>
      </c>
      <c r="S81">
        <f t="shared" si="162"/>
        <v>18</v>
      </c>
      <c r="T81">
        <f t="shared" si="163"/>
        <v>81.818181818181827</v>
      </c>
      <c r="U81">
        <f t="shared" si="165"/>
        <v>0.80434782608695654</v>
      </c>
      <c r="V81">
        <f t="shared" si="166"/>
        <v>1.8692317197309762</v>
      </c>
      <c r="W81">
        <f t="shared" si="167"/>
        <v>5.8572543202211778</v>
      </c>
      <c r="DQ81" s="94" t="s">
        <v>128</v>
      </c>
      <c r="DR81">
        <v>148</v>
      </c>
      <c r="DS81">
        <v>3</v>
      </c>
      <c r="DT81">
        <v>17</v>
      </c>
      <c r="DU81">
        <v>7</v>
      </c>
      <c r="DV81">
        <f t="shared" si="129"/>
        <v>10</v>
      </c>
      <c r="DW81" s="95">
        <f t="shared" si="130"/>
        <v>41.17647058823529</v>
      </c>
    </row>
    <row r="82" spans="2:127" x14ac:dyDescent="0.2">
      <c r="B82" s="1">
        <f>6*B81/18</f>
        <v>1.3333333333333333</v>
      </c>
      <c r="C82" s="11">
        <f t="shared" si="168"/>
        <v>94.871794871794862</v>
      </c>
      <c r="D82" s="1">
        <v>4.9382716049382713E-2</v>
      </c>
      <c r="E82" s="28">
        <v>79.310344827586206</v>
      </c>
      <c r="F82">
        <f t="shared" ref="F82:F86" si="170">IF(D82=0,0,ROUND(D82,2-1-INT(LOG10(ABS(D82)))))</f>
        <v>4.9000000000000002E-2</v>
      </c>
      <c r="G82" s="27">
        <f t="shared" si="169"/>
        <v>79</v>
      </c>
      <c r="Q82">
        <f t="shared" si="164"/>
        <v>220</v>
      </c>
      <c r="R82">
        <f t="shared" si="161"/>
        <v>26</v>
      </c>
      <c r="S82">
        <f t="shared" si="162"/>
        <v>21</v>
      </c>
      <c r="T82">
        <f t="shared" si="163"/>
        <v>80.769230769230774</v>
      </c>
      <c r="U82">
        <f t="shared" si="165"/>
        <v>0.79629629629629628</v>
      </c>
      <c r="V82">
        <f t="shared" si="166"/>
        <v>2.3424226808222062</v>
      </c>
      <c r="W82">
        <f t="shared" si="167"/>
        <v>5.8284646485811349</v>
      </c>
      <c r="BQ82">
        <v>-1.3064250275506875</v>
      </c>
      <c r="BR82">
        <v>4.4392969681249168</v>
      </c>
      <c r="BS82">
        <v>4.587536870558595</v>
      </c>
      <c r="BT82">
        <v>4.5027994293184461</v>
      </c>
      <c r="DQ82" s="94" t="s">
        <v>128</v>
      </c>
      <c r="DR82">
        <v>231</v>
      </c>
      <c r="DS82">
        <v>1</v>
      </c>
      <c r="DT82">
        <v>14</v>
      </c>
      <c r="DU82">
        <v>4</v>
      </c>
      <c r="DV82">
        <f t="shared" si="129"/>
        <v>10</v>
      </c>
      <c r="DW82" s="95">
        <f t="shared" si="130"/>
        <v>28.571428571428569</v>
      </c>
    </row>
    <row r="83" spans="2:127" x14ac:dyDescent="0.2">
      <c r="B83" s="1">
        <f>6*B82/18</f>
        <v>0.44444444444444442</v>
      </c>
      <c r="C83" s="11">
        <f t="shared" si="168"/>
        <v>72.916666666666657</v>
      </c>
      <c r="D83" s="1">
        <v>0.14814814814814814</v>
      </c>
      <c r="E83" s="28">
        <v>88.888888888888886</v>
      </c>
      <c r="F83">
        <f t="shared" si="170"/>
        <v>0.15</v>
      </c>
      <c r="G83" s="27">
        <f t="shared" si="169"/>
        <v>89</v>
      </c>
      <c r="Q83">
        <f t="shared" si="164"/>
        <v>670</v>
      </c>
      <c r="R83">
        <f t="shared" si="161"/>
        <v>38</v>
      </c>
      <c r="S83">
        <f t="shared" si="162"/>
        <v>30</v>
      </c>
      <c r="T83">
        <f t="shared" si="163"/>
        <v>78.94736842105263</v>
      </c>
      <c r="U83">
        <f t="shared" si="165"/>
        <v>0.78205128205128205</v>
      </c>
      <c r="V83">
        <f t="shared" si="166"/>
        <v>2.8260748027008264</v>
      </c>
      <c r="W83">
        <f t="shared" si="167"/>
        <v>5.7791396836729918</v>
      </c>
      <c r="BQ83">
        <v>-0.82930377283102497</v>
      </c>
      <c r="BR83">
        <v>4.5086634116738615</v>
      </c>
      <c r="BS83">
        <v>4.4687392426364259</v>
      </c>
      <c r="BT83">
        <v>4.7895716057520756</v>
      </c>
      <c r="DQ83" s="94" t="s">
        <v>128</v>
      </c>
      <c r="DR83">
        <v>231</v>
      </c>
      <c r="DS83">
        <v>2</v>
      </c>
      <c r="DT83">
        <v>21</v>
      </c>
      <c r="DU83">
        <v>3</v>
      </c>
      <c r="DV83">
        <f t="shared" si="129"/>
        <v>18</v>
      </c>
      <c r="DW83" s="95">
        <f t="shared" si="130"/>
        <v>14.285714285714285</v>
      </c>
    </row>
    <row r="84" spans="2:127" x14ac:dyDescent="0.2">
      <c r="B84" s="1">
        <f>6*B83/18</f>
        <v>0.14814814814814814</v>
      </c>
      <c r="C84" s="11">
        <f t="shared" si="168"/>
        <v>88.888888888888886</v>
      </c>
      <c r="D84" s="1">
        <v>0.44444444444444442</v>
      </c>
      <c r="E84" s="28">
        <v>72.916666666666657</v>
      </c>
      <c r="F84">
        <f t="shared" si="170"/>
        <v>0.44</v>
      </c>
      <c r="G84" s="27">
        <f t="shared" si="169"/>
        <v>73</v>
      </c>
      <c r="H84" s="22"/>
      <c r="Q84">
        <f t="shared" si="164"/>
        <v>2000</v>
      </c>
      <c r="R84">
        <f t="shared" si="161"/>
        <v>20</v>
      </c>
      <c r="S84">
        <f t="shared" si="162"/>
        <v>16</v>
      </c>
      <c r="T84">
        <f t="shared" si="163"/>
        <v>80</v>
      </c>
      <c r="U84">
        <f t="shared" si="165"/>
        <v>0.7857142857142857</v>
      </c>
      <c r="V84">
        <f t="shared" si="166"/>
        <v>3.3010299956639813</v>
      </c>
      <c r="W84">
        <f t="shared" si="167"/>
        <v>5.7916386077433746</v>
      </c>
      <c r="BQ84">
        <v>-0.35218251811136253</v>
      </c>
      <c r="BR84">
        <v>4.4616876778305663</v>
      </c>
      <c r="BS84">
        <v>4.5515745166940649</v>
      </c>
      <c r="BT84">
        <v>4.2386173903135749</v>
      </c>
      <c r="DQ84" s="94" t="s">
        <v>128</v>
      </c>
      <c r="DR84">
        <v>231</v>
      </c>
      <c r="DS84">
        <v>3</v>
      </c>
      <c r="DT84">
        <v>39</v>
      </c>
      <c r="DU84">
        <v>5</v>
      </c>
      <c r="DV84">
        <f t="shared" si="129"/>
        <v>34</v>
      </c>
      <c r="DW84" s="95">
        <f t="shared" si="130"/>
        <v>12.820512820512819</v>
      </c>
    </row>
    <row r="85" spans="2:127" x14ac:dyDescent="0.2">
      <c r="B85" s="1">
        <f>6*B84/18</f>
        <v>4.9382716049382713E-2</v>
      </c>
      <c r="C85" s="11">
        <f t="shared" si="168"/>
        <v>79.310344827586206</v>
      </c>
      <c r="D85" s="1">
        <v>1.3333333333333333</v>
      </c>
      <c r="E85" s="18">
        <v>94.871794871794862</v>
      </c>
      <c r="F85" s="1">
        <f t="shared" si="170"/>
        <v>1.3</v>
      </c>
      <c r="G85">
        <f t="shared" si="169"/>
        <v>95</v>
      </c>
      <c r="H85" s="22"/>
      <c r="BQ85">
        <v>0.12493873660829993</v>
      </c>
      <c r="BR85">
        <v>4.7111906449255363</v>
      </c>
      <c r="BS85">
        <v>4.4858438992554657</v>
      </c>
      <c r="BT85">
        <v>4.6288506767977164</v>
      </c>
      <c r="DQ85" s="94" t="s">
        <v>128</v>
      </c>
      <c r="DR85">
        <v>444</v>
      </c>
      <c r="DS85">
        <v>1</v>
      </c>
      <c r="DT85">
        <v>82</v>
      </c>
      <c r="DU85">
        <v>24</v>
      </c>
      <c r="DV85">
        <f t="shared" si="129"/>
        <v>58</v>
      </c>
      <c r="DW85" s="95">
        <f t="shared" si="130"/>
        <v>29.268292682926827</v>
      </c>
    </row>
    <row r="86" spans="2:127" ht="17" thickBot="1" x14ac:dyDescent="0.25">
      <c r="B86" s="24">
        <f>B77</f>
        <v>0</v>
      </c>
      <c r="C86" s="23">
        <f t="shared" si="168"/>
        <v>35.2112676056338</v>
      </c>
      <c r="D86" s="24">
        <v>4</v>
      </c>
      <c r="E86" s="18">
        <v>87.5</v>
      </c>
      <c r="F86" s="24">
        <f t="shared" si="170"/>
        <v>4</v>
      </c>
      <c r="G86" s="2">
        <f t="shared" si="169"/>
        <v>88</v>
      </c>
      <c r="BQ86">
        <v>0.6020599913279624</v>
      </c>
      <c r="BR86">
        <v>4.8108815737272073</v>
      </c>
      <c r="BS86">
        <v>4.3608529474035276</v>
      </c>
      <c r="BT86">
        <v>4.5064466049104546</v>
      </c>
      <c r="DQ86" s="94" t="s">
        <v>128</v>
      </c>
      <c r="DR86">
        <v>444</v>
      </c>
      <c r="DS86">
        <v>2</v>
      </c>
      <c r="DT86">
        <v>25</v>
      </c>
      <c r="DU86">
        <v>8</v>
      </c>
      <c r="DV86">
        <f t="shared" si="129"/>
        <v>17</v>
      </c>
      <c r="DW86" s="95">
        <f t="shared" si="130"/>
        <v>32</v>
      </c>
    </row>
    <row r="87" spans="2:127" x14ac:dyDescent="0.2">
      <c r="C87" s="18"/>
      <c r="E87" s="25"/>
      <c r="G87" s="26"/>
      <c r="DQ87" s="94" t="s">
        <v>128</v>
      </c>
      <c r="DR87">
        <v>444</v>
      </c>
      <c r="DS87">
        <v>3</v>
      </c>
      <c r="DT87">
        <v>55</v>
      </c>
      <c r="DU87">
        <v>12</v>
      </c>
      <c r="DV87">
        <f t="shared" si="129"/>
        <v>43</v>
      </c>
      <c r="DW87" s="95">
        <f t="shared" si="130"/>
        <v>21.818181818181817</v>
      </c>
    </row>
    <row r="88" spans="2:127" x14ac:dyDescent="0.2">
      <c r="C88" s="18"/>
      <c r="E88" s="18"/>
      <c r="DQ88" s="94" t="s">
        <v>128</v>
      </c>
      <c r="DR88">
        <v>694</v>
      </c>
      <c r="DS88">
        <v>1</v>
      </c>
      <c r="DT88">
        <v>17</v>
      </c>
      <c r="DU88">
        <v>5</v>
      </c>
      <c r="DV88">
        <f t="shared" si="129"/>
        <v>12</v>
      </c>
      <c r="DW88" s="95">
        <f t="shared" si="130"/>
        <v>29.411764705882355</v>
      </c>
    </row>
    <row r="89" spans="2:127" x14ac:dyDescent="0.2">
      <c r="C89" s="18"/>
      <c r="E89" s="18"/>
      <c r="P89" t="s">
        <v>33</v>
      </c>
      <c r="Q89" s="20">
        <f>10^((5-5.2555)/0.2055)</f>
        <v>5.7107217172752661E-2</v>
      </c>
      <c r="R89" s="20" t="s">
        <v>40</v>
      </c>
      <c r="DQ89" s="94" t="s">
        <v>128</v>
      </c>
      <c r="DR89">
        <v>694</v>
      </c>
      <c r="DS89">
        <v>2</v>
      </c>
      <c r="DT89">
        <v>22</v>
      </c>
      <c r="DU89">
        <v>4</v>
      </c>
      <c r="DV89">
        <f t="shared" si="129"/>
        <v>18</v>
      </c>
      <c r="DW89" s="95">
        <f t="shared" si="130"/>
        <v>18.181818181818183</v>
      </c>
    </row>
    <row r="90" spans="2:127" x14ac:dyDescent="0.2">
      <c r="C90" s="18"/>
      <c r="DQ90" s="94" t="s">
        <v>128</v>
      </c>
      <c r="DR90">
        <v>694</v>
      </c>
      <c r="DS90">
        <v>3</v>
      </c>
      <c r="DT90">
        <v>15</v>
      </c>
      <c r="DU90">
        <v>4</v>
      </c>
      <c r="DV90">
        <f t="shared" si="129"/>
        <v>11</v>
      </c>
      <c r="DW90" s="95">
        <f t="shared" si="130"/>
        <v>26.666666666666668</v>
      </c>
    </row>
    <row r="91" spans="2:127" x14ac:dyDescent="0.2">
      <c r="P91" s="18"/>
      <c r="DQ91" s="94" t="s">
        <v>128</v>
      </c>
      <c r="DR91">
        <v>1333</v>
      </c>
      <c r="DS91">
        <v>1</v>
      </c>
      <c r="DT91">
        <v>21</v>
      </c>
      <c r="DU91">
        <v>8</v>
      </c>
      <c r="DV91">
        <f t="shared" si="129"/>
        <v>13</v>
      </c>
      <c r="DW91" s="95">
        <f t="shared" si="130"/>
        <v>38.095238095238095</v>
      </c>
    </row>
    <row r="92" spans="2:127" x14ac:dyDescent="0.2">
      <c r="DQ92" s="94" t="s">
        <v>128</v>
      </c>
      <c r="DR92">
        <v>1333</v>
      </c>
      <c r="DS92">
        <v>2</v>
      </c>
      <c r="DT92">
        <v>27</v>
      </c>
      <c r="DU92">
        <v>8</v>
      </c>
      <c r="DV92">
        <f t="shared" si="129"/>
        <v>19</v>
      </c>
      <c r="DW92" s="95">
        <f t="shared" si="130"/>
        <v>29.629629629629626</v>
      </c>
    </row>
    <row r="93" spans="2:127" x14ac:dyDescent="0.2">
      <c r="DQ93" s="94" t="s">
        <v>128</v>
      </c>
      <c r="DR93">
        <v>1333</v>
      </c>
      <c r="DS93">
        <v>3</v>
      </c>
      <c r="DT93">
        <v>37</v>
      </c>
      <c r="DU93">
        <v>13</v>
      </c>
      <c r="DV93">
        <f t="shared" si="129"/>
        <v>24</v>
      </c>
      <c r="DW93" s="95">
        <f t="shared" si="130"/>
        <v>35.135135135135137</v>
      </c>
    </row>
    <row r="94" spans="2:127" x14ac:dyDescent="0.2">
      <c r="DQ94" s="94" t="s">
        <v>128</v>
      </c>
      <c r="DR94">
        <v>2083</v>
      </c>
      <c r="DS94">
        <v>1</v>
      </c>
      <c r="DT94">
        <v>14</v>
      </c>
      <c r="DU94">
        <v>6</v>
      </c>
      <c r="DV94">
        <f t="shared" si="129"/>
        <v>8</v>
      </c>
      <c r="DW94" s="95">
        <f t="shared" si="130"/>
        <v>42.857142857142854</v>
      </c>
    </row>
    <row r="95" spans="2:127" x14ac:dyDescent="0.2">
      <c r="BL95" t="s">
        <v>106</v>
      </c>
      <c r="DQ95" s="94" t="s">
        <v>128</v>
      </c>
      <c r="DR95">
        <v>2083</v>
      </c>
      <c r="DS95">
        <v>2</v>
      </c>
      <c r="DT95">
        <v>31</v>
      </c>
      <c r="DU95">
        <v>9</v>
      </c>
      <c r="DV95">
        <f t="shared" si="129"/>
        <v>22</v>
      </c>
      <c r="DW95" s="95">
        <f t="shared" si="130"/>
        <v>29.032258064516132</v>
      </c>
    </row>
    <row r="96" spans="2:127" x14ac:dyDescent="0.2">
      <c r="B96" t="s">
        <v>24</v>
      </c>
      <c r="C96" t="s">
        <v>26</v>
      </c>
      <c r="D96" t="s">
        <v>20</v>
      </c>
      <c r="E96" t="s">
        <v>25</v>
      </c>
      <c r="F96" t="s">
        <v>17</v>
      </c>
      <c r="G96" t="s">
        <v>28</v>
      </c>
      <c r="H96" t="s">
        <v>29</v>
      </c>
      <c r="I96" t="s">
        <v>30</v>
      </c>
      <c r="DQ96" s="94" t="s">
        <v>128</v>
      </c>
      <c r="DR96">
        <v>2083</v>
      </c>
      <c r="DS96">
        <v>3</v>
      </c>
      <c r="DT96">
        <v>71</v>
      </c>
      <c r="DU96">
        <v>12</v>
      </c>
      <c r="DV96">
        <f t="shared" si="129"/>
        <v>59</v>
      </c>
      <c r="DW96" s="95">
        <f t="shared" si="130"/>
        <v>16.901408450704224</v>
      </c>
    </row>
    <row r="97" spans="2:127" x14ac:dyDescent="0.2">
      <c r="C97">
        <f>F82*1000</f>
        <v>49</v>
      </c>
      <c r="D97">
        <v>29</v>
      </c>
      <c r="E97">
        <v>23</v>
      </c>
      <c r="F97">
        <f>G82</f>
        <v>79</v>
      </c>
      <c r="G97">
        <f>(E97+0.5)/(D97+1)</f>
        <v>0.78333333333333333</v>
      </c>
      <c r="H97">
        <f>LOG10(C97)</f>
        <v>1.6901960800285136</v>
      </c>
      <c r="I97">
        <f>_xlfn.NORM.S.INV(G97)+5</f>
        <v>5.7835003753897745</v>
      </c>
      <c r="DQ97" s="94" t="s">
        <v>128</v>
      </c>
      <c r="DR97">
        <v>4000</v>
      </c>
      <c r="DS97">
        <v>1</v>
      </c>
      <c r="DT97">
        <v>19</v>
      </c>
      <c r="DU97">
        <v>8</v>
      </c>
      <c r="DV97">
        <f t="shared" si="129"/>
        <v>11</v>
      </c>
      <c r="DW97" s="95">
        <f t="shared" si="130"/>
        <v>42.105263157894733</v>
      </c>
    </row>
    <row r="98" spans="2:127" x14ac:dyDescent="0.2">
      <c r="C98">
        <f t="shared" ref="C98:C101" si="171">F83*1000</f>
        <v>150</v>
      </c>
      <c r="D98">
        <v>36</v>
      </c>
      <c r="E98">
        <v>32</v>
      </c>
      <c r="F98">
        <f>G83</f>
        <v>89</v>
      </c>
      <c r="G98">
        <f>(E98+0.5)/(D98+1)</f>
        <v>0.8783783783783784</v>
      </c>
      <c r="H98">
        <f>LOG10(C98)</f>
        <v>2.1760912590556813</v>
      </c>
      <c r="I98">
        <f>_xlfn.NORM.S.INV(G98)+5</f>
        <v>6.1669186011353174</v>
      </c>
      <c r="BN98" s="57">
        <v>46188</v>
      </c>
      <c r="DQ98" s="94" t="s">
        <v>128</v>
      </c>
      <c r="DR98">
        <v>4000</v>
      </c>
      <c r="DS98">
        <v>2</v>
      </c>
      <c r="DT98">
        <v>43</v>
      </c>
      <c r="DU98">
        <v>11</v>
      </c>
      <c r="DV98">
        <f t="shared" si="129"/>
        <v>32</v>
      </c>
      <c r="DW98" s="95">
        <f t="shared" si="130"/>
        <v>25.581395348837212</v>
      </c>
    </row>
    <row r="99" spans="2:127" x14ac:dyDescent="0.2">
      <c r="C99">
        <f t="shared" si="171"/>
        <v>440</v>
      </c>
      <c r="D99">
        <v>48</v>
      </c>
      <c r="E99">
        <v>35</v>
      </c>
      <c r="F99">
        <f>G84</f>
        <v>73</v>
      </c>
      <c r="G99">
        <f>(E99+0.5)/(D99+1)</f>
        <v>0.72448979591836737</v>
      </c>
      <c r="H99">
        <f>LOG10(C99)</f>
        <v>2.6434526764861874</v>
      </c>
      <c r="I99">
        <f>_xlfn.NORM.S.INV(G99)+5</f>
        <v>5.596231764610585</v>
      </c>
      <c r="BO99" t="s">
        <v>108</v>
      </c>
      <c r="BS99" t="s">
        <v>107</v>
      </c>
      <c r="DQ99" s="94" t="s">
        <v>128</v>
      </c>
      <c r="DR99">
        <v>4000</v>
      </c>
      <c r="DS99">
        <v>3</v>
      </c>
      <c r="DT99">
        <v>36</v>
      </c>
      <c r="DU99">
        <v>11</v>
      </c>
      <c r="DV99">
        <f t="shared" si="129"/>
        <v>25</v>
      </c>
      <c r="DW99" s="95">
        <f t="shared" si="130"/>
        <v>30.555555555555557</v>
      </c>
    </row>
    <row r="100" spans="2:127" ht="17" thickBot="1" x14ac:dyDescent="0.25">
      <c r="C100">
        <f t="shared" si="171"/>
        <v>1300</v>
      </c>
      <c r="D100">
        <v>39</v>
      </c>
      <c r="E100">
        <v>37</v>
      </c>
      <c r="F100">
        <f>G85</f>
        <v>95</v>
      </c>
      <c r="G100">
        <f>(E100+0.5)/(D100+1)</f>
        <v>0.9375</v>
      </c>
      <c r="H100">
        <f>LOG10(C100)</f>
        <v>3.1139433523068369</v>
      </c>
      <c r="I100">
        <f>_xlfn.NORM.S.INV(G100)+5</f>
        <v>6.5341205443525467</v>
      </c>
      <c r="DQ100" s="96"/>
      <c r="DR100" s="97"/>
      <c r="DS100" s="97"/>
      <c r="DT100" s="97"/>
      <c r="DU100" s="97"/>
      <c r="DV100" s="97"/>
      <c r="DW100" s="98"/>
    </row>
    <row r="101" spans="2:127" ht="17" thickBot="1" x14ac:dyDescent="0.25">
      <c r="C101">
        <f t="shared" si="171"/>
        <v>4000</v>
      </c>
      <c r="D101">
        <v>40</v>
      </c>
      <c r="E101">
        <v>35</v>
      </c>
      <c r="F101">
        <f>G86</f>
        <v>88</v>
      </c>
      <c r="G101">
        <f>(E101+0.5)/(D101+1)</f>
        <v>0.86585365853658536</v>
      </c>
      <c r="H101">
        <f>LOG10(C101)</f>
        <v>3.6020599913279625</v>
      </c>
      <c r="I101">
        <f>_xlfn.NORM.S.INV(G101)+5</f>
        <v>6.107002880537908</v>
      </c>
      <c r="BO101" s="104" t="s">
        <v>83</v>
      </c>
      <c r="BP101" s="105"/>
      <c r="BQ101" s="104" t="s">
        <v>83</v>
      </c>
      <c r="BR101" s="105"/>
      <c r="BS101" s="104" t="s">
        <v>83</v>
      </c>
      <c r="BT101" s="105"/>
    </row>
    <row r="102" spans="2:127" x14ac:dyDescent="0.2">
      <c r="BN102" s="43" t="s">
        <v>65</v>
      </c>
      <c r="BO102" s="22" t="s">
        <v>20</v>
      </c>
      <c r="BP102" s="27" t="s">
        <v>25</v>
      </c>
      <c r="BQ102" s="22" t="s">
        <v>20</v>
      </c>
      <c r="BR102" s="27" t="s">
        <v>25</v>
      </c>
      <c r="BS102" s="22" t="s">
        <v>20</v>
      </c>
      <c r="BT102" s="27" t="s">
        <v>25</v>
      </c>
    </row>
    <row r="103" spans="2:127" x14ac:dyDescent="0.2">
      <c r="BM103" s="55" t="s">
        <v>97</v>
      </c>
      <c r="BN103" s="30">
        <f>BL105</f>
        <v>0</v>
      </c>
      <c r="BO103" s="63">
        <v>17</v>
      </c>
      <c r="BP103" s="64">
        <v>1</v>
      </c>
      <c r="BQ103" s="63">
        <v>27</v>
      </c>
      <c r="BR103" s="64">
        <v>4</v>
      </c>
      <c r="BS103" s="63">
        <v>18</v>
      </c>
      <c r="BT103" s="64">
        <v>0</v>
      </c>
    </row>
    <row r="104" spans="2:127" x14ac:dyDescent="0.2">
      <c r="BM104">
        <v>4</v>
      </c>
      <c r="BN104" s="30">
        <f t="shared" ref="BN104:BN107" si="172">BL106</f>
        <v>7.7160493827160503E-2</v>
      </c>
      <c r="BO104" s="63">
        <v>28</v>
      </c>
      <c r="BP104" s="64">
        <v>6</v>
      </c>
      <c r="BQ104" s="63">
        <v>20</v>
      </c>
      <c r="BR104" s="64">
        <v>2</v>
      </c>
      <c r="BS104" s="63">
        <v>29</v>
      </c>
      <c r="BT104" s="64">
        <v>4</v>
      </c>
    </row>
    <row r="105" spans="2:127" x14ac:dyDescent="0.2">
      <c r="BK105" s="30">
        <f>37.5/18</f>
        <v>2.0833333333333335</v>
      </c>
      <c r="BL105" cm="1">
        <f t="array" ref="BL105:BL109">_xlfn.SORTBY(BK105:BK109,ROW(BK105:BK109),-1)</f>
        <v>0</v>
      </c>
      <c r="BM105">
        <v>3</v>
      </c>
      <c r="BN105" s="30">
        <f t="shared" si="172"/>
        <v>0.23148148148148151</v>
      </c>
      <c r="BO105" s="63">
        <v>14</v>
      </c>
      <c r="BP105" s="64">
        <v>4</v>
      </c>
      <c r="BQ105" s="63">
        <v>21</v>
      </c>
      <c r="BR105" s="64">
        <v>3</v>
      </c>
      <c r="BS105" s="63">
        <v>39</v>
      </c>
      <c r="BT105" s="64">
        <v>5</v>
      </c>
    </row>
    <row r="106" spans="2:127" x14ac:dyDescent="0.2">
      <c r="BK106" s="30">
        <f t="shared" ref="BK106:BK108" si="173">8*BK105/24</f>
        <v>0.69444444444444453</v>
      </c>
      <c r="BL106">
        <v>7.7160493827160503E-2</v>
      </c>
      <c r="BM106">
        <v>2</v>
      </c>
      <c r="BN106" s="30">
        <f t="shared" si="172"/>
        <v>0.69444444444444453</v>
      </c>
      <c r="BO106" s="63">
        <v>17</v>
      </c>
      <c r="BP106" s="64">
        <v>5</v>
      </c>
      <c r="BQ106" s="63">
        <v>22</v>
      </c>
      <c r="BR106" s="64">
        <v>4</v>
      </c>
      <c r="BS106" s="63">
        <v>15</v>
      </c>
      <c r="BT106" s="64">
        <v>4</v>
      </c>
    </row>
    <row r="107" spans="2:127" ht="17" thickBot="1" x14ac:dyDescent="0.25">
      <c r="B107">
        <f>F81</f>
        <v>0</v>
      </c>
      <c r="C107">
        <v>71</v>
      </c>
      <c r="D107">
        <v>25</v>
      </c>
      <c r="E107">
        <f>G81</f>
        <v>35</v>
      </c>
      <c r="F107">
        <f>(D107+0.5)/(C107+1)</f>
        <v>0.35416666666666669</v>
      </c>
      <c r="G107" t="e">
        <f>LOG10(B107)</f>
        <v>#NUM!</v>
      </c>
      <c r="H107">
        <f>_xlfn.NORM.S.INV(F107)+5</f>
        <v>4.6259045898022766</v>
      </c>
      <c r="J107" t="s">
        <v>39</v>
      </c>
      <c r="BK107" s="30">
        <f t="shared" si="173"/>
        <v>0.23148148148148151</v>
      </c>
      <c r="BL107">
        <v>0.23148148148148151</v>
      </c>
      <c r="BM107">
        <v>1</v>
      </c>
      <c r="BN107" s="31">
        <f t="shared" si="172"/>
        <v>2.0833333333333335</v>
      </c>
      <c r="BO107" s="65">
        <v>14</v>
      </c>
      <c r="BP107" s="66">
        <v>6</v>
      </c>
      <c r="BQ107" s="65">
        <v>31</v>
      </c>
      <c r="BR107" s="66">
        <v>9</v>
      </c>
      <c r="BS107" s="65">
        <v>71</v>
      </c>
      <c r="BT107" s="66">
        <v>12</v>
      </c>
    </row>
    <row r="108" spans="2:127" ht="17" thickBot="1" x14ac:dyDescent="0.25">
      <c r="BK108" s="30">
        <f t="shared" si="173"/>
        <v>7.7160493827160503E-2</v>
      </c>
      <c r="BL108">
        <v>0.69444444444444453</v>
      </c>
    </row>
    <row r="109" spans="2:127" ht="17" thickBot="1" x14ac:dyDescent="0.25">
      <c r="B109" t="s">
        <v>33</v>
      </c>
      <c r="C109" s="20">
        <f>10^((5-5.4753)/0.2125)</f>
        <v>5.798212363551547E-3</v>
      </c>
      <c r="D109" s="20" t="s">
        <v>41</v>
      </c>
      <c r="BK109">
        <v>0</v>
      </c>
      <c r="BL109">
        <v>2.0833333333333335</v>
      </c>
      <c r="BO109" s="106" t="s">
        <v>98</v>
      </c>
      <c r="BP109" s="107"/>
      <c r="BQ109" s="107"/>
      <c r="BR109" s="107"/>
      <c r="BS109" s="107"/>
      <c r="BT109" s="108"/>
    </row>
    <row r="110" spans="2:127" x14ac:dyDescent="0.2">
      <c r="BN110" s="43" t="s">
        <v>65</v>
      </c>
      <c r="BO110" s="50"/>
      <c r="BP110" s="44" t="s">
        <v>17</v>
      </c>
      <c r="BQ110" s="50"/>
      <c r="BR110" s="44" t="s">
        <v>17</v>
      </c>
      <c r="BS110" s="50"/>
      <c r="BT110" s="44" t="s">
        <v>17</v>
      </c>
    </row>
    <row r="111" spans="2:127" x14ac:dyDescent="0.2">
      <c r="BN111" s="30">
        <f>BN103</f>
        <v>0</v>
      </c>
      <c r="BO111" s="47"/>
      <c r="BP111" s="67">
        <f>BP103/BO103*100</f>
        <v>5.8823529411764701</v>
      </c>
      <c r="BQ111" s="47"/>
      <c r="BR111" s="67">
        <f>BR103/BQ103*100</f>
        <v>14.814814814814813</v>
      </c>
      <c r="BS111" s="47"/>
      <c r="BT111" s="69">
        <f>BT103/BS103*100</f>
        <v>0</v>
      </c>
    </row>
    <row r="112" spans="2:127" x14ac:dyDescent="0.2">
      <c r="BN112" s="30">
        <f t="shared" ref="BN112:BN115" si="174">BN104</f>
        <v>7.7160493827160503E-2</v>
      </c>
      <c r="BO112" s="47"/>
      <c r="BP112" s="67">
        <f t="shared" ref="BP112:BP115" si="175">BP104/BO104*100</f>
        <v>21.428571428571427</v>
      </c>
      <c r="BQ112" s="47"/>
      <c r="BR112" s="67">
        <f t="shared" ref="BR112:BR115" si="176">BR104/BQ104*100</f>
        <v>10</v>
      </c>
      <c r="BS112" s="47"/>
      <c r="BT112" s="69">
        <f t="shared" ref="BT112:BT115" si="177">BT104/BS104*100</f>
        <v>13.793103448275861</v>
      </c>
    </row>
    <row r="113" spans="63:72" x14ac:dyDescent="0.2">
      <c r="BN113" s="30">
        <f t="shared" si="174"/>
        <v>0.23148148148148151</v>
      </c>
      <c r="BO113" s="47"/>
      <c r="BP113" s="67">
        <f t="shared" si="175"/>
        <v>28.571428571428569</v>
      </c>
      <c r="BQ113" s="47"/>
      <c r="BR113" s="67">
        <f t="shared" si="176"/>
        <v>14.285714285714285</v>
      </c>
      <c r="BS113" s="47"/>
      <c r="BT113" s="69">
        <f t="shared" si="177"/>
        <v>12.820512820512819</v>
      </c>
    </row>
    <row r="114" spans="63:72" x14ac:dyDescent="0.2">
      <c r="BN114" s="30">
        <f t="shared" si="174"/>
        <v>0.69444444444444453</v>
      </c>
      <c r="BO114" s="47"/>
      <c r="BP114" s="67">
        <f t="shared" si="175"/>
        <v>29.411764705882355</v>
      </c>
      <c r="BQ114" s="47"/>
      <c r="BR114" s="67">
        <f t="shared" si="176"/>
        <v>18.181818181818183</v>
      </c>
      <c r="BS114" s="47"/>
      <c r="BT114" s="69">
        <f t="shared" si="177"/>
        <v>26.666666666666668</v>
      </c>
    </row>
    <row r="115" spans="63:72" ht="17" thickBot="1" x14ac:dyDescent="0.25">
      <c r="BN115" s="31">
        <f t="shared" si="174"/>
        <v>2.0833333333333335</v>
      </c>
      <c r="BO115" s="48"/>
      <c r="BP115" s="68">
        <f t="shared" si="175"/>
        <v>42.857142857142854</v>
      </c>
      <c r="BQ115" s="48"/>
      <c r="BR115" s="68">
        <f t="shared" si="176"/>
        <v>29.032258064516132</v>
      </c>
      <c r="BS115" s="48"/>
      <c r="BT115" s="70">
        <f t="shared" si="177"/>
        <v>16.901408450704224</v>
      </c>
    </row>
    <row r="116" spans="63:72" x14ac:dyDescent="0.2">
      <c r="BP116" s="56"/>
      <c r="BR116" s="56"/>
      <c r="BT116" s="56"/>
    </row>
    <row r="118" spans="63:72" ht="17" thickBot="1" x14ac:dyDescent="0.25"/>
    <row r="119" spans="63:72" ht="17" thickBot="1" x14ac:dyDescent="0.25">
      <c r="BO119" s="45" t="s">
        <v>99</v>
      </c>
      <c r="BP119" s="54"/>
      <c r="BQ119" s="45" t="s">
        <v>99</v>
      </c>
      <c r="BR119" s="54"/>
      <c r="BS119" s="45" t="s">
        <v>99</v>
      </c>
      <c r="BT119" s="54"/>
    </row>
    <row r="120" spans="63:72" x14ac:dyDescent="0.2">
      <c r="BN120" s="43" t="s">
        <v>65</v>
      </c>
      <c r="BO120" s="22" t="s">
        <v>20</v>
      </c>
      <c r="BP120" s="27" t="s">
        <v>25</v>
      </c>
      <c r="BQ120" s="22" t="s">
        <v>20</v>
      </c>
      <c r="BR120" s="27" t="s">
        <v>25</v>
      </c>
      <c r="BS120" s="22" t="s">
        <v>20</v>
      </c>
      <c r="BT120" s="27" t="s">
        <v>25</v>
      </c>
    </row>
    <row r="121" spans="63:72" x14ac:dyDescent="0.2">
      <c r="BM121" s="55" t="s">
        <v>97</v>
      </c>
      <c r="BN121" s="30">
        <f>BL123</f>
        <v>0</v>
      </c>
      <c r="BO121" s="59">
        <v>23</v>
      </c>
      <c r="BP121" s="60">
        <v>13</v>
      </c>
      <c r="BQ121" s="59">
        <v>34</v>
      </c>
      <c r="BR121" s="60">
        <v>12</v>
      </c>
      <c r="BS121" s="59">
        <v>18</v>
      </c>
      <c r="BT121" s="60">
        <v>7</v>
      </c>
    </row>
    <row r="122" spans="63:72" x14ac:dyDescent="0.2">
      <c r="BM122">
        <v>4</v>
      </c>
      <c r="BN122" s="30">
        <f t="shared" ref="BN122:BN125" si="178">BL124</f>
        <v>7.5514403292181079E-2</v>
      </c>
      <c r="BO122" s="59">
        <v>23</v>
      </c>
      <c r="BP122" s="60">
        <v>7</v>
      </c>
      <c r="BQ122" s="59">
        <v>22</v>
      </c>
      <c r="BR122" s="60">
        <v>11</v>
      </c>
      <c r="BS122" s="59">
        <v>23</v>
      </c>
      <c r="BT122" s="60">
        <v>7</v>
      </c>
    </row>
    <row r="123" spans="63:72" x14ac:dyDescent="0.2">
      <c r="BK123" s="30">
        <f>36.7/18</f>
        <v>2.0388888888888892</v>
      </c>
      <c r="BL123" cm="1">
        <f t="array" ref="BL123:BL127">_xlfn.SORTBY(BK123:BK127,ROW(BK123:BK127),-1)</f>
        <v>0</v>
      </c>
      <c r="BM123">
        <v>3</v>
      </c>
      <c r="BN123" s="30">
        <f t="shared" si="178"/>
        <v>0.22654320987654322</v>
      </c>
      <c r="BO123" s="59">
        <v>10</v>
      </c>
      <c r="BP123" s="60">
        <v>4</v>
      </c>
      <c r="BQ123" s="59">
        <v>26</v>
      </c>
      <c r="BR123" s="60">
        <v>11</v>
      </c>
      <c r="BS123" s="59">
        <v>26</v>
      </c>
      <c r="BT123" s="60">
        <v>10</v>
      </c>
    </row>
    <row r="124" spans="63:72" x14ac:dyDescent="0.2">
      <c r="BK124" s="30">
        <f t="shared" ref="BK124:BK126" si="179">8*BK123/24</f>
        <v>0.67962962962962969</v>
      </c>
      <c r="BL124">
        <v>7.5514403292181079E-2</v>
      </c>
      <c r="BM124">
        <v>2</v>
      </c>
      <c r="BN124" s="30">
        <f t="shared" si="178"/>
        <v>0.67962962962962969</v>
      </c>
      <c r="BO124" s="59">
        <v>37</v>
      </c>
      <c r="BP124" s="60">
        <v>20</v>
      </c>
      <c r="BQ124" s="59">
        <v>28</v>
      </c>
      <c r="BR124" s="60">
        <v>13</v>
      </c>
      <c r="BS124" s="59">
        <v>12</v>
      </c>
      <c r="BT124" s="60">
        <v>3</v>
      </c>
    </row>
    <row r="125" spans="63:72" ht="17" thickBot="1" x14ac:dyDescent="0.25">
      <c r="BK125" s="30">
        <f t="shared" si="179"/>
        <v>0.22654320987654322</v>
      </c>
      <c r="BL125">
        <v>0.22654320987654322</v>
      </c>
      <c r="BM125">
        <v>1</v>
      </c>
      <c r="BN125" s="31">
        <f t="shared" si="178"/>
        <v>2.0388888888888892</v>
      </c>
      <c r="BO125" s="61">
        <v>16</v>
      </c>
      <c r="BP125" s="62">
        <v>6</v>
      </c>
      <c r="BQ125" s="61">
        <v>18</v>
      </c>
      <c r="BR125" s="62">
        <v>8</v>
      </c>
      <c r="BS125" s="61">
        <v>16</v>
      </c>
      <c r="BT125" s="62">
        <v>8</v>
      </c>
    </row>
    <row r="126" spans="63:72" ht="17" thickBot="1" x14ac:dyDescent="0.25">
      <c r="BK126" s="30">
        <f t="shared" si="179"/>
        <v>7.5514403292181079E-2</v>
      </c>
      <c r="BL126">
        <v>0.67962962962962969</v>
      </c>
      <c r="BT126" t="s">
        <v>109</v>
      </c>
    </row>
    <row r="127" spans="63:72" ht="17" thickBot="1" x14ac:dyDescent="0.25">
      <c r="BK127">
        <v>0</v>
      </c>
      <c r="BL127">
        <v>2.0388888888888892</v>
      </c>
      <c r="BO127" s="106" t="s">
        <v>98</v>
      </c>
      <c r="BP127" s="107"/>
      <c r="BQ127" s="107"/>
      <c r="BR127" s="107"/>
      <c r="BS127" s="107"/>
      <c r="BT127" s="108"/>
    </row>
    <row r="128" spans="63:72" x14ac:dyDescent="0.2">
      <c r="BN128" s="43" t="s">
        <v>65</v>
      </c>
      <c r="BO128" s="50"/>
      <c r="BP128" s="44" t="s">
        <v>17</v>
      </c>
      <c r="BQ128" s="50"/>
      <c r="BR128" s="44" t="s">
        <v>17</v>
      </c>
      <c r="BS128" s="50"/>
      <c r="BT128" s="44" t="s">
        <v>17</v>
      </c>
    </row>
    <row r="129" spans="66:72" x14ac:dyDescent="0.2">
      <c r="BN129" s="30">
        <f>BN121</f>
        <v>0</v>
      </c>
      <c r="BO129" s="47"/>
      <c r="BP129" s="58">
        <f>BP121/BO121*100</f>
        <v>56.521739130434781</v>
      </c>
      <c r="BQ129" s="47"/>
      <c r="BR129" s="58">
        <f>BR121/BQ121*100</f>
        <v>35.294117647058826</v>
      </c>
      <c r="BS129" s="47"/>
      <c r="BT129" s="72">
        <f>BT121/BS121*100</f>
        <v>38.888888888888893</v>
      </c>
    </row>
    <row r="130" spans="66:72" x14ac:dyDescent="0.2">
      <c r="BN130" s="30">
        <f t="shared" ref="BN130:BN133" si="180">BN122</f>
        <v>7.5514403292181079E-2</v>
      </c>
      <c r="BO130" s="47"/>
      <c r="BP130" s="58">
        <f t="shared" ref="BP130:BP133" si="181">BP122/BO122*100</f>
        <v>30.434782608695656</v>
      </c>
      <c r="BQ130" s="47"/>
      <c r="BR130" s="58">
        <f t="shared" ref="BR130:BR133" si="182">BR122/BQ122*100</f>
        <v>50</v>
      </c>
      <c r="BS130" s="47"/>
      <c r="BT130" s="72">
        <f t="shared" ref="BT130:BT133" si="183">BT122/BS122*100</f>
        <v>30.434782608695656</v>
      </c>
    </row>
    <row r="131" spans="66:72" x14ac:dyDescent="0.2">
      <c r="BN131" s="30">
        <f t="shared" si="180"/>
        <v>0.22654320987654322</v>
      </c>
      <c r="BO131" s="47"/>
      <c r="BP131" s="58">
        <f t="shared" si="181"/>
        <v>40</v>
      </c>
      <c r="BQ131" s="47"/>
      <c r="BR131" s="58">
        <f t="shared" si="182"/>
        <v>42.307692307692307</v>
      </c>
      <c r="BS131" s="47"/>
      <c r="BT131" s="72">
        <f t="shared" si="183"/>
        <v>38.461538461538467</v>
      </c>
    </row>
    <row r="132" spans="66:72" x14ac:dyDescent="0.2">
      <c r="BN132" s="30">
        <f t="shared" si="180"/>
        <v>0.67962962962962969</v>
      </c>
      <c r="BO132" s="47"/>
      <c r="BP132" s="58">
        <f t="shared" si="181"/>
        <v>54.054054054054056</v>
      </c>
      <c r="BQ132" s="47"/>
      <c r="BR132" s="58">
        <f t="shared" si="182"/>
        <v>46.428571428571431</v>
      </c>
      <c r="BS132" s="47"/>
      <c r="BT132" s="72">
        <f t="shared" si="183"/>
        <v>25</v>
      </c>
    </row>
    <row r="133" spans="66:72" ht="17" thickBot="1" x14ac:dyDescent="0.25">
      <c r="BN133" s="31">
        <f t="shared" si="180"/>
        <v>2.0388888888888892</v>
      </c>
      <c r="BO133" s="48"/>
      <c r="BP133" s="71">
        <f t="shared" si="181"/>
        <v>37.5</v>
      </c>
      <c r="BQ133" s="48"/>
      <c r="BR133" s="71">
        <f t="shared" si="182"/>
        <v>44.444444444444443</v>
      </c>
      <c r="BS133" s="48"/>
      <c r="BT133" s="73">
        <f t="shared" si="183"/>
        <v>50</v>
      </c>
    </row>
  </sheetData>
  <mergeCells count="72">
    <mergeCell ref="DR2:DW2"/>
    <mergeCell ref="DX2:EC2"/>
    <mergeCell ref="ED2:EI2"/>
    <mergeCell ref="DG33:DL33"/>
    <mergeCell ref="DF3:DN3"/>
    <mergeCell ref="DF18:DN18"/>
    <mergeCell ref="DF32:DN32"/>
    <mergeCell ref="DG4:DL4"/>
    <mergeCell ref="DG19:DL19"/>
    <mergeCell ref="BO127:BT127"/>
    <mergeCell ref="BO109:BT109"/>
    <mergeCell ref="BO5:BZ5"/>
    <mergeCell ref="BO101:BP101"/>
    <mergeCell ref="BQ101:BR101"/>
    <mergeCell ref="BS101:BT101"/>
    <mergeCell ref="BO60:BT60"/>
    <mergeCell ref="BY6:BZ6"/>
    <mergeCell ref="BO52:BP52"/>
    <mergeCell ref="BQ52:BR52"/>
    <mergeCell ref="BS52:BT52"/>
    <mergeCell ref="BW6:BX6"/>
    <mergeCell ref="BO6:BP6"/>
    <mergeCell ref="BQ6:BR6"/>
    <mergeCell ref="BS6:BT6"/>
    <mergeCell ref="BU6:BV6"/>
    <mergeCell ref="AD46:AT46"/>
    <mergeCell ref="AE47:AG47"/>
    <mergeCell ref="AH47:AJ47"/>
    <mergeCell ref="AK47:AM47"/>
    <mergeCell ref="AN47:AT47"/>
    <mergeCell ref="O48:AA48"/>
    <mergeCell ref="Q49:R49"/>
    <mergeCell ref="S49:T49"/>
    <mergeCell ref="U49:V49"/>
    <mergeCell ref="W49:AA49"/>
    <mergeCell ref="Q5:R5"/>
    <mergeCell ref="S5:T5"/>
    <mergeCell ref="U5:V5"/>
    <mergeCell ref="W5:AA5"/>
    <mergeCell ref="O4:AA4"/>
    <mergeCell ref="AD4:AT4"/>
    <mergeCell ref="B69:M69"/>
    <mergeCell ref="C70:D70"/>
    <mergeCell ref="E70:F70"/>
    <mergeCell ref="G70:H70"/>
    <mergeCell ref="I70:M70"/>
    <mergeCell ref="I5:M5"/>
    <mergeCell ref="B4:M4"/>
    <mergeCell ref="B19:M19"/>
    <mergeCell ref="I20:M20"/>
    <mergeCell ref="C20:D20"/>
    <mergeCell ref="E20:F20"/>
    <mergeCell ref="G20:H20"/>
    <mergeCell ref="C5:D5"/>
    <mergeCell ref="E5:F5"/>
    <mergeCell ref="G5:H5"/>
    <mergeCell ref="BO14:BZ14"/>
    <mergeCell ref="AE5:AG5"/>
    <mergeCell ref="AH5:AJ5"/>
    <mergeCell ref="AK5:AM5"/>
    <mergeCell ref="AN5:AT5"/>
    <mergeCell ref="BD6:BE6"/>
    <mergeCell ref="AX5:BE5"/>
    <mergeCell ref="AX12:BE12"/>
    <mergeCell ref="AX6:AY6"/>
    <mergeCell ref="AZ6:BA6"/>
    <mergeCell ref="BB6:BC6"/>
    <mergeCell ref="CW5:CX5"/>
    <mergeCell ref="CY5:CZ5"/>
    <mergeCell ref="DA5:DB5"/>
    <mergeCell ref="CW13:DB13"/>
    <mergeCell ref="CW31:DB31"/>
  </mergeCells>
  <pageMargins left="0.7" right="0.7" top="0.75" bottom="0.75" header="0.3" footer="0.3"/>
  <ignoredErrors>
    <ignoredError sqref="DM5:DM9 DM10:DM11 DM12:DM13 DM14 DM20:DM28 DM34:DM43 DN5:DN14 DN20:DN28 DN34:DN43" formulaRange="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2FEB-A264-AF4D-8C37-71214250D4B0}">
  <dimension ref="A1:G97"/>
  <sheetViews>
    <sheetView topLeftCell="A2" workbookViewId="0">
      <selection activeCell="J91" sqref="J91"/>
    </sheetView>
  </sheetViews>
  <sheetFormatPr baseColWidth="10" defaultRowHeight="16" x14ac:dyDescent="0.2"/>
  <sheetData>
    <row r="1" spans="1:7" x14ac:dyDescent="0.2">
      <c r="A1" s="99" t="s">
        <v>129</v>
      </c>
      <c r="B1" s="100" t="s">
        <v>124</v>
      </c>
      <c r="C1" s="100" t="s">
        <v>130</v>
      </c>
      <c r="D1" s="100" t="s">
        <v>68</v>
      </c>
      <c r="E1" s="100" t="s">
        <v>131</v>
      </c>
      <c r="F1" s="101" t="s">
        <v>44</v>
      </c>
      <c r="G1" s="102" t="s">
        <v>132</v>
      </c>
    </row>
    <row r="2" spans="1:7" x14ac:dyDescent="0.2">
      <c r="A2" s="94" t="s">
        <v>126</v>
      </c>
      <c r="B2">
        <v>0</v>
      </c>
      <c r="C2">
        <v>1</v>
      </c>
      <c r="D2">
        <v>20</v>
      </c>
      <c r="E2">
        <v>7</v>
      </c>
      <c r="F2">
        <f>D2-E2</f>
        <v>13</v>
      </c>
      <c r="G2" s="95">
        <f>E2/D2*100</f>
        <v>35</v>
      </c>
    </row>
    <row r="3" spans="1:7" x14ac:dyDescent="0.2">
      <c r="A3" s="94" t="s">
        <v>126</v>
      </c>
      <c r="B3">
        <v>0</v>
      </c>
      <c r="C3">
        <v>2</v>
      </c>
      <c r="D3">
        <v>33</v>
      </c>
      <c r="E3">
        <v>8</v>
      </c>
      <c r="F3">
        <f t="shared" ref="F3:F34" si="0">D3-E3</f>
        <v>25</v>
      </c>
      <c r="G3" s="95">
        <f t="shared" ref="G3:G34" si="1">E3/D3*100</f>
        <v>24.242424242424242</v>
      </c>
    </row>
    <row r="4" spans="1:7" x14ac:dyDescent="0.2">
      <c r="A4" s="94" t="s">
        <v>126</v>
      </c>
      <c r="B4">
        <v>0</v>
      </c>
      <c r="C4">
        <v>3</v>
      </c>
      <c r="D4">
        <v>32</v>
      </c>
      <c r="E4">
        <v>5</v>
      </c>
      <c r="F4">
        <f t="shared" si="0"/>
        <v>27</v>
      </c>
      <c r="G4" s="95">
        <f t="shared" si="1"/>
        <v>15.625</v>
      </c>
    </row>
    <row r="5" spans="1:7" x14ac:dyDescent="0.2">
      <c r="A5" s="94" t="s">
        <v>126</v>
      </c>
      <c r="B5">
        <v>0</v>
      </c>
      <c r="C5">
        <v>4</v>
      </c>
      <c r="D5">
        <v>30</v>
      </c>
      <c r="E5">
        <v>2</v>
      </c>
      <c r="F5">
        <f t="shared" si="0"/>
        <v>28</v>
      </c>
      <c r="G5" s="95">
        <f t="shared" si="1"/>
        <v>6.666666666666667</v>
      </c>
    </row>
    <row r="6" spans="1:7" x14ac:dyDescent="0.2">
      <c r="A6" s="94" t="s">
        <v>126</v>
      </c>
      <c r="B6">
        <v>0</v>
      </c>
      <c r="C6">
        <v>5</v>
      </c>
      <c r="D6">
        <v>35</v>
      </c>
      <c r="E6">
        <v>8</v>
      </c>
      <c r="F6">
        <f t="shared" si="0"/>
        <v>27</v>
      </c>
      <c r="G6" s="95">
        <f t="shared" si="1"/>
        <v>22.857142857142858</v>
      </c>
    </row>
    <row r="7" spans="1:7" x14ac:dyDescent="0.2">
      <c r="A7" s="94" t="s">
        <v>126</v>
      </c>
      <c r="B7">
        <v>0</v>
      </c>
      <c r="C7">
        <v>6</v>
      </c>
      <c r="D7">
        <v>35</v>
      </c>
      <c r="E7">
        <v>7</v>
      </c>
      <c r="F7">
        <f t="shared" si="0"/>
        <v>28</v>
      </c>
      <c r="G7" s="95">
        <f t="shared" si="1"/>
        <v>20</v>
      </c>
    </row>
    <row r="8" spans="1:7" x14ac:dyDescent="0.2">
      <c r="A8" s="94" t="s">
        <v>126</v>
      </c>
      <c r="B8">
        <v>0.53</v>
      </c>
      <c r="C8">
        <v>1</v>
      </c>
      <c r="D8">
        <v>25</v>
      </c>
      <c r="E8">
        <v>6</v>
      </c>
      <c r="F8">
        <f t="shared" si="0"/>
        <v>19</v>
      </c>
      <c r="G8" s="95">
        <f t="shared" si="1"/>
        <v>24</v>
      </c>
    </row>
    <row r="9" spans="1:7" x14ac:dyDescent="0.2">
      <c r="A9" s="94" t="s">
        <v>126</v>
      </c>
      <c r="B9">
        <v>0.53</v>
      </c>
      <c r="C9">
        <v>2</v>
      </c>
      <c r="D9">
        <v>21</v>
      </c>
      <c r="E9">
        <v>4</v>
      </c>
      <c r="F9">
        <f t="shared" si="0"/>
        <v>17</v>
      </c>
      <c r="G9" s="95">
        <f t="shared" si="1"/>
        <v>19.047619047619047</v>
      </c>
    </row>
    <row r="10" spans="1:7" x14ac:dyDescent="0.2">
      <c r="A10" s="94" t="s">
        <v>126</v>
      </c>
      <c r="B10">
        <v>0.53</v>
      </c>
      <c r="C10">
        <v>3</v>
      </c>
      <c r="D10">
        <v>41</v>
      </c>
      <c r="E10">
        <v>10</v>
      </c>
      <c r="F10">
        <f t="shared" si="0"/>
        <v>31</v>
      </c>
      <c r="G10" s="95">
        <f t="shared" si="1"/>
        <v>24.390243902439025</v>
      </c>
    </row>
    <row r="11" spans="1:7" x14ac:dyDescent="0.2">
      <c r="A11" s="94" t="s">
        <v>126</v>
      </c>
      <c r="B11">
        <v>1.6</v>
      </c>
      <c r="C11">
        <v>1</v>
      </c>
      <c r="D11">
        <v>27</v>
      </c>
      <c r="E11">
        <v>8</v>
      </c>
      <c r="F11">
        <f t="shared" si="0"/>
        <v>19</v>
      </c>
      <c r="G11" s="95">
        <f t="shared" si="1"/>
        <v>29.629629629629626</v>
      </c>
    </row>
    <row r="12" spans="1:7" x14ac:dyDescent="0.2">
      <c r="A12" s="94" t="s">
        <v>126</v>
      </c>
      <c r="B12">
        <v>1.6</v>
      </c>
      <c r="C12">
        <v>2</v>
      </c>
      <c r="D12">
        <v>24</v>
      </c>
      <c r="E12">
        <v>7</v>
      </c>
      <c r="F12">
        <f t="shared" si="0"/>
        <v>17</v>
      </c>
      <c r="G12" s="95">
        <f t="shared" si="1"/>
        <v>29.166666666666668</v>
      </c>
    </row>
    <row r="13" spans="1:7" x14ac:dyDescent="0.2">
      <c r="A13" s="94" t="s">
        <v>126</v>
      </c>
      <c r="B13">
        <v>1.6</v>
      </c>
      <c r="C13">
        <v>3</v>
      </c>
      <c r="D13">
        <v>38</v>
      </c>
      <c r="E13">
        <v>12</v>
      </c>
      <c r="F13">
        <f t="shared" si="0"/>
        <v>26</v>
      </c>
      <c r="G13" s="95">
        <f t="shared" si="1"/>
        <v>31.578947368421051</v>
      </c>
    </row>
    <row r="14" spans="1:7" x14ac:dyDescent="0.2">
      <c r="A14" s="94" t="s">
        <v>126</v>
      </c>
      <c r="B14">
        <v>4.4000000000000004</v>
      </c>
      <c r="C14">
        <v>1</v>
      </c>
      <c r="D14">
        <v>24</v>
      </c>
      <c r="E14">
        <v>6</v>
      </c>
      <c r="F14">
        <f t="shared" si="0"/>
        <v>18</v>
      </c>
      <c r="G14" s="95">
        <f t="shared" si="1"/>
        <v>25</v>
      </c>
    </row>
    <row r="15" spans="1:7" x14ac:dyDescent="0.2">
      <c r="A15" s="94" t="s">
        <v>126</v>
      </c>
      <c r="B15">
        <v>4.4000000000000004</v>
      </c>
      <c r="C15">
        <v>2</v>
      </c>
      <c r="D15">
        <v>62</v>
      </c>
      <c r="E15">
        <v>26</v>
      </c>
      <c r="F15">
        <f t="shared" si="0"/>
        <v>36</v>
      </c>
      <c r="G15" s="95">
        <f t="shared" si="1"/>
        <v>41.935483870967744</v>
      </c>
    </row>
    <row r="16" spans="1:7" x14ac:dyDescent="0.2">
      <c r="A16" s="94" t="s">
        <v>126</v>
      </c>
      <c r="B16">
        <v>4.4000000000000004</v>
      </c>
      <c r="C16">
        <v>3</v>
      </c>
      <c r="D16">
        <v>28</v>
      </c>
      <c r="E16">
        <v>8</v>
      </c>
      <c r="F16">
        <f t="shared" si="0"/>
        <v>20</v>
      </c>
      <c r="G16" s="95">
        <f t="shared" si="1"/>
        <v>28.571428571428569</v>
      </c>
    </row>
    <row r="17" spans="1:7" x14ac:dyDescent="0.2">
      <c r="A17" s="94" t="s">
        <v>126</v>
      </c>
      <c r="B17">
        <v>4.7</v>
      </c>
      <c r="C17">
        <v>1</v>
      </c>
      <c r="D17">
        <v>21</v>
      </c>
      <c r="E17">
        <v>9</v>
      </c>
      <c r="F17">
        <f t="shared" si="0"/>
        <v>12</v>
      </c>
      <c r="G17" s="95">
        <f t="shared" si="1"/>
        <v>42.857142857142854</v>
      </c>
    </row>
    <row r="18" spans="1:7" x14ac:dyDescent="0.2">
      <c r="A18" s="94" t="s">
        <v>126</v>
      </c>
      <c r="B18">
        <v>4.7</v>
      </c>
      <c r="C18">
        <v>2</v>
      </c>
      <c r="D18">
        <v>57</v>
      </c>
      <c r="E18">
        <v>15</v>
      </c>
      <c r="F18">
        <f t="shared" si="0"/>
        <v>42</v>
      </c>
      <c r="G18" s="95">
        <f t="shared" si="1"/>
        <v>26.315789473684209</v>
      </c>
    </row>
    <row r="19" spans="1:7" x14ac:dyDescent="0.2">
      <c r="A19" s="94" t="s">
        <v>126</v>
      </c>
      <c r="B19">
        <v>4.7</v>
      </c>
      <c r="C19">
        <v>3</v>
      </c>
      <c r="D19">
        <v>67</v>
      </c>
      <c r="E19">
        <v>19</v>
      </c>
      <c r="F19">
        <f t="shared" si="0"/>
        <v>48</v>
      </c>
      <c r="G19" s="95">
        <f t="shared" si="1"/>
        <v>28.35820895522388</v>
      </c>
    </row>
    <row r="20" spans="1:7" x14ac:dyDescent="0.2">
      <c r="A20" s="94" t="s">
        <v>126</v>
      </c>
      <c r="B20">
        <v>13</v>
      </c>
      <c r="C20">
        <v>1</v>
      </c>
      <c r="D20">
        <v>15</v>
      </c>
      <c r="E20">
        <v>5</v>
      </c>
      <c r="F20">
        <f t="shared" si="0"/>
        <v>10</v>
      </c>
      <c r="G20" s="95">
        <f t="shared" si="1"/>
        <v>33.333333333333329</v>
      </c>
    </row>
    <row r="21" spans="1:7" x14ac:dyDescent="0.2">
      <c r="A21" s="94" t="s">
        <v>126</v>
      </c>
      <c r="B21">
        <v>13</v>
      </c>
      <c r="C21">
        <v>2</v>
      </c>
      <c r="D21">
        <v>43</v>
      </c>
      <c r="E21">
        <v>16</v>
      </c>
      <c r="F21">
        <f t="shared" si="0"/>
        <v>27</v>
      </c>
      <c r="G21" s="95">
        <f t="shared" si="1"/>
        <v>37.209302325581397</v>
      </c>
    </row>
    <row r="22" spans="1:7" x14ac:dyDescent="0.2">
      <c r="A22" s="94" t="s">
        <v>126</v>
      </c>
      <c r="B22">
        <v>13</v>
      </c>
      <c r="C22">
        <v>3</v>
      </c>
      <c r="D22">
        <v>64</v>
      </c>
      <c r="E22">
        <v>20</v>
      </c>
      <c r="F22">
        <f t="shared" si="0"/>
        <v>44</v>
      </c>
      <c r="G22" s="95">
        <f t="shared" si="1"/>
        <v>31.25</v>
      </c>
    </row>
    <row r="23" spans="1:7" x14ac:dyDescent="0.2">
      <c r="A23" s="94" t="s">
        <v>126</v>
      </c>
      <c r="B23">
        <v>14</v>
      </c>
      <c r="C23">
        <v>1</v>
      </c>
      <c r="D23">
        <v>13</v>
      </c>
      <c r="E23">
        <v>6</v>
      </c>
      <c r="F23">
        <f t="shared" si="0"/>
        <v>7</v>
      </c>
      <c r="G23" s="95">
        <f t="shared" si="1"/>
        <v>46.153846153846153</v>
      </c>
    </row>
    <row r="24" spans="1:7" x14ac:dyDescent="0.2">
      <c r="A24" s="94" t="s">
        <v>126</v>
      </c>
      <c r="B24">
        <v>14</v>
      </c>
      <c r="C24">
        <v>2</v>
      </c>
      <c r="D24">
        <v>50</v>
      </c>
      <c r="E24">
        <v>17</v>
      </c>
      <c r="F24">
        <f t="shared" si="0"/>
        <v>33</v>
      </c>
      <c r="G24" s="95">
        <f t="shared" si="1"/>
        <v>34</v>
      </c>
    </row>
    <row r="25" spans="1:7" x14ac:dyDescent="0.2">
      <c r="A25" s="94" t="s">
        <v>126</v>
      </c>
      <c r="B25">
        <v>14</v>
      </c>
      <c r="C25">
        <v>3</v>
      </c>
      <c r="D25">
        <v>49</v>
      </c>
      <c r="E25">
        <v>18</v>
      </c>
      <c r="F25">
        <f t="shared" si="0"/>
        <v>31</v>
      </c>
      <c r="G25" s="95">
        <f t="shared" si="1"/>
        <v>36.734693877551024</v>
      </c>
    </row>
    <row r="26" spans="1:7" x14ac:dyDescent="0.2">
      <c r="A26" s="94" t="s">
        <v>126</v>
      </c>
      <c r="B26">
        <v>40</v>
      </c>
      <c r="C26">
        <v>1</v>
      </c>
      <c r="D26">
        <v>21</v>
      </c>
      <c r="E26">
        <v>8</v>
      </c>
      <c r="F26">
        <f t="shared" si="0"/>
        <v>13</v>
      </c>
      <c r="G26" s="95">
        <f t="shared" si="1"/>
        <v>38.095238095238095</v>
      </c>
    </row>
    <row r="27" spans="1:7" x14ac:dyDescent="0.2">
      <c r="A27" s="94" t="s">
        <v>126</v>
      </c>
      <c r="B27">
        <v>40</v>
      </c>
      <c r="C27">
        <v>2</v>
      </c>
      <c r="D27">
        <v>54</v>
      </c>
      <c r="E27">
        <v>21</v>
      </c>
      <c r="F27">
        <f t="shared" si="0"/>
        <v>33</v>
      </c>
      <c r="G27" s="95">
        <f t="shared" si="1"/>
        <v>38.888888888888893</v>
      </c>
    </row>
    <row r="28" spans="1:7" x14ac:dyDescent="0.2">
      <c r="A28" s="94" t="s">
        <v>126</v>
      </c>
      <c r="B28">
        <v>40</v>
      </c>
      <c r="C28">
        <v>3</v>
      </c>
      <c r="D28">
        <v>59</v>
      </c>
      <c r="E28">
        <v>22</v>
      </c>
      <c r="F28">
        <f t="shared" si="0"/>
        <v>37</v>
      </c>
      <c r="G28" s="95">
        <f t="shared" si="1"/>
        <v>37.288135593220339</v>
      </c>
    </row>
    <row r="29" spans="1:7" x14ac:dyDescent="0.2">
      <c r="A29" s="94" t="s">
        <v>126</v>
      </c>
      <c r="B29">
        <v>43</v>
      </c>
      <c r="C29">
        <v>1</v>
      </c>
      <c r="D29">
        <v>11</v>
      </c>
      <c r="E29">
        <v>7</v>
      </c>
      <c r="F29">
        <f t="shared" si="0"/>
        <v>4</v>
      </c>
      <c r="G29" s="95">
        <f t="shared" si="1"/>
        <v>63.636363636363633</v>
      </c>
    </row>
    <row r="30" spans="1:7" x14ac:dyDescent="0.2">
      <c r="A30" s="94" t="s">
        <v>126</v>
      </c>
      <c r="B30">
        <v>43</v>
      </c>
      <c r="C30">
        <v>2</v>
      </c>
      <c r="D30">
        <v>46</v>
      </c>
      <c r="E30">
        <v>16</v>
      </c>
      <c r="F30">
        <f t="shared" si="0"/>
        <v>30</v>
      </c>
      <c r="G30" s="95">
        <f t="shared" si="1"/>
        <v>34.782608695652172</v>
      </c>
    </row>
    <row r="31" spans="1:7" x14ac:dyDescent="0.2">
      <c r="A31" s="94" t="s">
        <v>126</v>
      </c>
      <c r="B31">
        <v>43</v>
      </c>
      <c r="C31">
        <v>3</v>
      </c>
      <c r="D31">
        <v>19</v>
      </c>
      <c r="E31">
        <v>7</v>
      </c>
      <c r="F31">
        <f t="shared" si="0"/>
        <v>12</v>
      </c>
      <c r="G31" s="95">
        <f t="shared" si="1"/>
        <v>36.84210526315789</v>
      </c>
    </row>
    <row r="32" spans="1:7" x14ac:dyDescent="0.2">
      <c r="A32" s="94" t="s">
        <v>126</v>
      </c>
      <c r="B32">
        <v>120</v>
      </c>
      <c r="C32">
        <v>1</v>
      </c>
      <c r="D32">
        <v>22</v>
      </c>
      <c r="E32">
        <v>10</v>
      </c>
      <c r="F32">
        <f t="shared" si="0"/>
        <v>12</v>
      </c>
      <c r="G32" s="95">
        <f t="shared" si="1"/>
        <v>45.454545454545453</v>
      </c>
    </row>
    <row r="33" spans="1:7" x14ac:dyDescent="0.2">
      <c r="A33" s="94" t="s">
        <v>126</v>
      </c>
      <c r="B33">
        <v>120</v>
      </c>
      <c r="C33">
        <v>2</v>
      </c>
      <c r="D33">
        <v>38</v>
      </c>
      <c r="E33">
        <v>12</v>
      </c>
      <c r="F33">
        <f t="shared" si="0"/>
        <v>26</v>
      </c>
      <c r="G33" s="95">
        <f t="shared" si="1"/>
        <v>31.578947368421051</v>
      </c>
    </row>
    <row r="34" spans="1:7" x14ac:dyDescent="0.2">
      <c r="A34" s="94" t="s">
        <v>126</v>
      </c>
      <c r="B34">
        <v>120</v>
      </c>
      <c r="C34">
        <v>3</v>
      </c>
      <c r="D34">
        <v>40</v>
      </c>
      <c r="E34">
        <v>14</v>
      </c>
      <c r="F34">
        <f t="shared" si="0"/>
        <v>26</v>
      </c>
      <c r="G34" s="95">
        <f t="shared" si="1"/>
        <v>35</v>
      </c>
    </row>
    <row r="35" spans="1:7" x14ac:dyDescent="0.2">
      <c r="A35" s="94" t="s">
        <v>127</v>
      </c>
      <c r="B35">
        <v>0</v>
      </c>
      <c r="C35">
        <v>1</v>
      </c>
      <c r="D35">
        <v>23</v>
      </c>
      <c r="E35">
        <v>13</v>
      </c>
      <c r="F35">
        <f>D35-E35</f>
        <v>10</v>
      </c>
      <c r="G35" s="95">
        <f>E35/D35*100</f>
        <v>56.521739130434781</v>
      </c>
    </row>
    <row r="36" spans="1:7" x14ac:dyDescent="0.2">
      <c r="A36" s="94" t="s">
        <v>127</v>
      </c>
      <c r="B36">
        <v>0</v>
      </c>
      <c r="C36">
        <v>2</v>
      </c>
      <c r="D36">
        <v>34</v>
      </c>
      <c r="E36">
        <v>12</v>
      </c>
      <c r="F36">
        <f>D36-E36</f>
        <v>22</v>
      </c>
      <c r="G36" s="95">
        <f>E36/D36*100</f>
        <v>35.294117647058826</v>
      </c>
    </row>
    <row r="37" spans="1:7" x14ac:dyDescent="0.2">
      <c r="A37" s="94" t="s">
        <v>127</v>
      </c>
      <c r="B37">
        <v>0</v>
      </c>
      <c r="C37">
        <v>3</v>
      </c>
      <c r="D37">
        <v>18</v>
      </c>
      <c r="E37">
        <v>7</v>
      </c>
      <c r="F37">
        <f t="shared" ref="F37:F64" si="2">D37-E37</f>
        <v>11</v>
      </c>
      <c r="G37" s="95">
        <f t="shared" ref="G37:G64" si="3">E37/D37*100</f>
        <v>38.888888888888893</v>
      </c>
    </row>
    <row r="38" spans="1:7" x14ac:dyDescent="0.2">
      <c r="A38" s="94" t="s">
        <v>127</v>
      </c>
      <c r="B38">
        <v>0</v>
      </c>
      <c r="C38">
        <v>4</v>
      </c>
      <c r="D38">
        <v>22</v>
      </c>
      <c r="E38">
        <v>4</v>
      </c>
      <c r="F38">
        <f t="shared" si="2"/>
        <v>18</v>
      </c>
      <c r="G38" s="95">
        <f t="shared" si="3"/>
        <v>18.181818181818183</v>
      </c>
    </row>
    <row r="39" spans="1:7" x14ac:dyDescent="0.2">
      <c r="A39" s="94" t="s">
        <v>127</v>
      </c>
      <c r="B39">
        <v>0</v>
      </c>
      <c r="C39">
        <v>5</v>
      </c>
      <c r="D39">
        <v>22</v>
      </c>
      <c r="E39">
        <v>4</v>
      </c>
      <c r="F39">
        <f t="shared" si="2"/>
        <v>18</v>
      </c>
      <c r="G39" s="95">
        <f t="shared" si="3"/>
        <v>18.181818181818183</v>
      </c>
    </row>
    <row r="40" spans="1:7" x14ac:dyDescent="0.2">
      <c r="A40" s="94" t="s">
        <v>127</v>
      </c>
      <c r="B40">
        <v>0</v>
      </c>
      <c r="C40">
        <v>6</v>
      </c>
      <c r="D40">
        <v>20</v>
      </c>
      <c r="E40">
        <v>4</v>
      </c>
      <c r="F40">
        <f t="shared" si="2"/>
        <v>16</v>
      </c>
      <c r="G40" s="95">
        <f t="shared" si="3"/>
        <v>20</v>
      </c>
    </row>
    <row r="41" spans="1:7" x14ac:dyDescent="0.2">
      <c r="A41" s="94" t="s">
        <v>127</v>
      </c>
      <c r="B41">
        <v>76</v>
      </c>
      <c r="C41">
        <v>1</v>
      </c>
      <c r="D41">
        <v>23</v>
      </c>
      <c r="E41">
        <v>7</v>
      </c>
      <c r="F41">
        <f t="shared" si="2"/>
        <v>16</v>
      </c>
      <c r="G41" s="95">
        <f t="shared" si="3"/>
        <v>30.434782608695656</v>
      </c>
    </row>
    <row r="42" spans="1:7" x14ac:dyDescent="0.2">
      <c r="A42" s="94" t="s">
        <v>127</v>
      </c>
      <c r="B42">
        <v>76</v>
      </c>
      <c r="C42">
        <v>2</v>
      </c>
      <c r="D42">
        <v>22</v>
      </c>
      <c r="E42">
        <v>11</v>
      </c>
      <c r="F42">
        <f t="shared" si="2"/>
        <v>11</v>
      </c>
      <c r="G42" s="95">
        <f t="shared" si="3"/>
        <v>50</v>
      </c>
    </row>
    <row r="43" spans="1:7" x14ac:dyDescent="0.2">
      <c r="A43" s="94" t="s">
        <v>127</v>
      </c>
      <c r="B43">
        <v>76</v>
      </c>
      <c r="C43">
        <v>3</v>
      </c>
      <c r="D43">
        <v>23</v>
      </c>
      <c r="E43">
        <v>7</v>
      </c>
      <c r="F43">
        <f t="shared" si="2"/>
        <v>16</v>
      </c>
      <c r="G43" s="95">
        <f t="shared" si="3"/>
        <v>30.434782608695656</v>
      </c>
    </row>
    <row r="44" spans="1:7" x14ac:dyDescent="0.2">
      <c r="A44" s="94" t="s">
        <v>127</v>
      </c>
      <c r="B44">
        <v>78</v>
      </c>
      <c r="C44">
        <v>1</v>
      </c>
      <c r="D44">
        <v>19</v>
      </c>
      <c r="E44">
        <v>4</v>
      </c>
      <c r="F44">
        <f t="shared" si="2"/>
        <v>15</v>
      </c>
      <c r="G44" s="95">
        <f t="shared" si="3"/>
        <v>21.052631578947366</v>
      </c>
    </row>
    <row r="45" spans="1:7" x14ac:dyDescent="0.2">
      <c r="A45" s="94" t="s">
        <v>127</v>
      </c>
      <c r="B45">
        <v>78</v>
      </c>
      <c r="C45">
        <v>2</v>
      </c>
      <c r="D45">
        <v>16</v>
      </c>
      <c r="E45">
        <v>4</v>
      </c>
      <c r="F45">
        <f t="shared" si="2"/>
        <v>12</v>
      </c>
      <c r="G45" s="95">
        <f t="shared" si="3"/>
        <v>25</v>
      </c>
    </row>
    <row r="46" spans="1:7" x14ac:dyDescent="0.2">
      <c r="A46" s="94" t="s">
        <v>127</v>
      </c>
      <c r="B46">
        <v>78</v>
      </c>
      <c r="C46">
        <v>3</v>
      </c>
      <c r="D46">
        <v>23</v>
      </c>
      <c r="E46">
        <v>7</v>
      </c>
      <c r="F46">
        <f t="shared" si="2"/>
        <v>16</v>
      </c>
      <c r="G46" s="95">
        <f t="shared" si="3"/>
        <v>30.434782608695656</v>
      </c>
    </row>
    <row r="47" spans="1:7" x14ac:dyDescent="0.2">
      <c r="A47" s="94" t="s">
        <v>127</v>
      </c>
      <c r="B47">
        <v>227</v>
      </c>
      <c r="C47">
        <v>1</v>
      </c>
      <c r="D47">
        <v>10</v>
      </c>
      <c r="E47">
        <v>4</v>
      </c>
      <c r="F47">
        <f t="shared" si="2"/>
        <v>6</v>
      </c>
      <c r="G47" s="95">
        <f t="shared" si="3"/>
        <v>40</v>
      </c>
    </row>
    <row r="48" spans="1:7" x14ac:dyDescent="0.2">
      <c r="A48" s="94" t="s">
        <v>127</v>
      </c>
      <c r="B48">
        <v>227</v>
      </c>
      <c r="C48">
        <v>2</v>
      </c>
      <c r="D48">
        <v>26</v>
      </c>
      <c r="E48">
        <v>11</v>
      </c>
      <c r="F48">
        <f t="shared" si="2"/>
        <v>15</v>
      </c>
      <c r="G48" s="95">
        <f t="shared" si="3"/>
        <v>42.307692307692307</v>
      </c>
    </row>
    <row r="49" spans="1:7" x14ac:dyDescent="0.2">
      <c r="A49" s="94" t="s">
        <v>127</v>
      </c>
      <c r="B49">
        <v>227</v>
      </c>
      <c r="C49">
        <v>3</v>
      </c>
      <c r="D49">
        <v>26</v>
      </c>
      <c r="E49">
        <v>10</v>
      </c>
      <c r="F49">
        <f t="shared" si="2"/>
        <v>16</v>
      </c>
      <c r="G49" s="95">
        <f t="shared" si="3"/>
        <v>38.461538461538467</v>
      </c>
    </row>
    <row r="50" spans="1:7" x14ac:dyDescent="0.2">
      <c r="A50" s="94" t="s">
        <v>127</v>
      </c>
      <c r="B50">
        <v>235</v>
      </c>
      <c r="C50">
        <v>1</v>
      </c>
      <c r="D50">
        <v>20</v>
      </c>
      <c r="E50">
        <v>7</v>
      </c>
      <c r="F50">
        <f t="shared" si="2"/>
        <v>13</v>
      </c>
      <c r="G50" s="95">
        <f t="shared" si="3"/>
        <v>35</v>
      </c>
    </row>
    <row r="51" spans="1:7" x14ac:dyDescent="0.2">
      <c r="A51" s="94" t="s">
        <v>127</v>
      </c>
      <c r="B51">
        <v>235</v>
      </c>
      <c r="C51">
        <v>2</v>
      </c>
      <c r="D51">
        <v>22</v>
      </c>
      <c r="E51">
        <v>7</v>
      </c>
      <c r="F51">
        <f t="shared" si="2"/>
        <v>15</v>
      </c>
      <c r="G51" s="95">
        <f t="shared" si="3"/>
        <v>31.818181818181817</v>
      </c>
    </row>
    <row r="52" spans="1:7" x14ac:dyDescent="0.2">
      <c r="A52" s="94" t="s">
        <v>127</v>
      </c>
      <c r="B52">
        <v>235</v>
      </c>
      <c r="C52">
        <v>3</v>
      </c>
      <c r="D52">
        <v>28</v>
      </c>
      <c r="E52">
        <v>7</v>
      </c>
      <c r="F52">
        <f t="shared" si="2"/>
        <v>21</v>
      </c>
      <c r="G52" s="95">
        <f t="shared" si="3"/>
        <v>25</v>
      </c>
    </row>
    <row r="53" spans="1:7" x14ac:dyDescent="0.2">
      <c r="A53" s="94" t="s">
        <v>127</v>
      </c>
      <c r="B53">
        <v>680</v>
      </c>
      <c r="C53">
        <v>1</v>
      </c>
      <c r="D53">
        <v>37</v>
      </c>
      <c r="E53">
        <v>20</v>
      </c>
      <c r="F53">
        <f t="shared" si="2"/>
        <v>17</v>
      </c>
      <c r="G53" s="95">
        <f t="shared" si="3"/>
        <v>54.054054054054056</v>
      </c>
    </row>
    <row r="54" spans="1:7" x14ac:dyDescent="0.2">
      <c r="A54" s="94" t="s">
        <v>127</v>
      </c>
      <c r="B54">
        <v>680</v>
      </c>
      <c r="C54">
        <v>2</v>
      </c>
      <c r="D54">
        <v>28</v>
      </c>
      <c r="E54">
        <v>13</v>
      </c>
      <c r="F54">
        <f t="shared" si="2"/>
        <v>15</v>
      </c>
      <c r="G54" s="95">
        <f t="shared" si="3"/>
        <v>46.428571428571431</v>
      </c>
    </row>
    <row r="55" spans="1:7" x14ac:dyDescent="0.2">
      <c r="A55" s="94" t="s">
        <v>127</v>
      </c>
      <c r="B55">
        <v>680</v>
      </c>
      <c r="C55">
        <v>3</v>
      </c>
      <c r="D55">
        <v>12</v>
      </c>
      <c r="E55">
        <v>3</v>
      </c>
      <c r="F55">
        <f t="shared" si="2"/>
        <v>9</v>
      </c>
      <c r="G55" s="95">
        <f t="shared" si="3"/>
        <v>25</v>
      </c>
    </row>
    <row r="56" spans="1:7" x14ac:dyDescent="0.2">
      <c r="A56" s="94" t="s">
        <v>127</v>
      </c>
      <c r="B56">
        <v>704</v>
      </c>
      <c r="C56">
        <v>1</v>
      </c>
      <c r="D56">
        <v>18</v>
      </c>
      <c r="E56">
        <v>8</v>
      </c>
      <c r="F56">
        <f t="shared" si="2"/>
        <v>10</v>
      </c>
      <c r="G56" s="95">
        <f t="shared" si="3"/>
        <v>44.444444444444443</v>
      </c>
    </row>
    <row r="57" spans="1:7" x14ac:dyDescent="0.2">
      <c r="A57" s="94" t="s">
        <v>127</v>
      </c>
      <c r="B57">
        <v>704</v>
      </c>
      <c r="C57">
        <v>2</v>
      </c>
      <c r="D57">
        <v>19</v>
      </c>
      <c r="E57">
        <v>7</v>
      </c>
      <c r="F57">
        <f t="shared" si="2"/>
        <v>12</v>
      </c>
      <c r="G57" s="95">
        <f t="shared" si="3"/>
        <v>36.84210526315789</v>
      </c>
    </row>
    <row r="58" spans="1:7" x14ac:dyDescent="0.2">
      <c r="A58" s="94" t="s">
        <v>127</v>
      </c>
      <c r="B58">
        <v>704</v>
      </c>
      <c r="C58">
        <v>3</v>
      </c>
      <c r="D58">
        <v>35</v>
      </c>
      <c r="E58">
        <v>14</v>
      </c>
      <c r="F58">
        <f t="shared" si="2"/>
        <v>21</v>
      </c>
      <c r="G58" s="95">
        <f t="shared" si="3"/>
        <v>40</v>
      </c>
    </row>
    <row r="59" spans="1:7" x14ac:dyDescent="0.2">
      <c r="A59" s="94" t="s">
        <v>127</v>
      </c>
      <c r="B59">
        <v>2049</v>
      </c>
      <c r="C59">
        <v>1</v>
      </c>
      <c r="D59">
        <v>16</v>
      </c>
      <c r="E59">
        <v>6</v>
      </c>
      <c r="F59">
        <f t="shared" si="2"/>
        <v>10</v>
      </c>
      <c r="G59" s="95">
        <f t="shared" si="3"/>
        <v>37.5</v>
      </c>
    </row>
    <row r="60" spans="1:7" x14ac:dyDescent="0.2">
      <c r="A60" s="94" t="s">
        <v>127</v>
      </c>
      <c r="B60">
        <v>2049</v>
      </c>
      <c r="C60">
        <v>2</v>
      </c>
      <c r="D60">
        <v>18</v>
      </c>
      <c r="E60">
        <v>8</v>
      </c>
      <c r="F60">
        <f t="shared" si="2"/>
        <v>10</v>
      </c>
      <c r="G60" s="95">
        <f t="shared" si="3"/>
        <v>44.444444444444443</v>
      </c>
    </row>
    <row r="61" spans="1:7" x14ac:dyDescent="0.2">
      <c r="A61" s="94" t="s">
        <v>127</v>
      </c>
      <c r="B61">
        <v>2049</v>
      </c>
      <c r="C61">
        <v>3</v>
      </c>
      <c r="D61">
        <v>16</v>
      </c>
      <c r="E61">
        <v>8</v>
      </c>
      <c r="F61">
        <f t="shared" si="2"/>
        <v>8</v>
      </c>
      <c r="G61" s="95">
        <f t="shared" si="3"/>
        <v>50</v>
      </c>
    </row>
    <row r="62" spans="1:7" x14ac:dyDescent="0.2">
      <c r="A62" s="94" t="s">
        <v>127</v>
      </c>
      <c r="B62">
        <v>2111</v>
      </c>
      <c r="C62">
        <v>1</v>
      </c>
      <c r="D62">
        <v>21</v>
      </c>
      <c r="E62">
        <v>12</v>
      </c>
      <c r="F62">
        <f t="shared" si="2"/>
        <v>9</v>
      </c>
      <c r="G62" s="95">
        <f t="shared" si="3"/>
        <v>57.142857142857139</v>
      </c>
    </row>
    <row r="63" spans="1:7" x14ac:dyDescent="0.2">
      <c r="A63" s="94" t="s">
        <v>127</v>
      </c>
      <c r="B63">
        <v>2111</v>
      </c>
      <c r="C63">
        <v>2</v>
      </c>
      <c r="D63">
        <v>18</v>
      </c>
      <c r="E63">
        <v>8</v>
      </c>
      <c r="F63">
        <f t="shared" si="2"/>
        <v>10</v>
      </c>
      <c r="G63" s="95">
        <f t="shared" si="3"/>
        <v>44.444444444444443</v>
      </c>
    </row>
    <row r="64" spans="1:7" x14ac:dyDescent="0.2">
      <c r="A64" s="94" t="s">
        <v>127</v>
      </c>
      <c r="B64">
        <v>2111</v>
      </c>
      <c r="C64">
        <v>3</v>
      </c>
      <c r="D64">
        <v>21</v>
      </c>
      <c r="E64">
        <v>9</v>
      </c>
      <c r="F64">
        <f t="shared" si="2"/>
        <v>12</v>
      </c>
      <c r="G64" s="95">
        <f t="shared" si="3"/>
        <v>42.857142857142854</v>
      </c>
    </row>
    <row r="65" spans="1:7" x14ac:dyDescent="0.2">
      <c r="A65" s="94" t="s">
        <v>128</v>
      </c>
      <c r="B65">
        <v>0</v>
      </c>
      <c r="C65">
        <v>1</v>
      </c>
      <c r="D65">
        <v>23</v>
      </c>
      <c r="E65">
        <v>5</v>
      </c>
      <c r="F65">
        <f>D65-E65</f>
        <v>18</v>
      </c>
      <c r="G65" s="95">
        <f>E65/D65*100</f>
        <v>21.739130434782609</v>
      </c>
    </row>
    <row r="66" spans="1:7" x14ac:dyDescent="0.2">
      <c r="A66" s="94" t="s">
        <v>128</v>
      </c>
      <c r="B66">
        <v>0</v>
      </c>
      <c r="C66">
        <v>2</v>
      </c>
      <c r="D66">
        <v>18</v>
      </c>
      <c r="E66">
        <v>4</v>
      </c>
      <c r="F66">
        <f t="shared" ref="F66:F97" si="4">D66-E66</f>
        <v>14</v>
      </c>
      <c r="G66" s="95">
        <f t="shared" ref="G66:G97" si="5">E66/D66*100</f>
        <v>22.222222222222221</v>
      </c>
    </row>
    <row r="67" spans="1:7" x14ac:dyDescent="0.2">
      <c r="A67" s="94" t="s">
        <v>128</v>
      </c>
      <c r="B67">
        <v>0</v>
      </c>
      <c r="C67">
        <v>3</v>
      </c>
      <c r="D67">
        <v>30</v>
      </c>
      <c r="E67">
        <v>9</v>
      </c>
      <c r="F67">
        <f t="shared" si="4"/>
        <v>21</v>
      </c>
      <c r="G67" s="95">
        <f t="shared" si="5"/>
        <v>30</v>
      </c>
    </row>
    <row r="68" spans="1:7" x14ac:dyDescent="0.2">
      <c r="A68" s="94" t="s">
        <v>128</v>
      </c>
      <c r="B68">
        <v>0</v>
      </c>
      <c r="C68">
        <v>4</v>
      </c>
      <c r="D68">
        <v>17</v>
      </c>
      <c r="E68">
        <v>1</v>
      </c>
      <c r="F68">
        <f t="shared" si="4"/>
        <v>16</v>
      </c>
      <c r="G68" s="95">
        <f t="shared" si="5"/>
        <v>5.8823529411764701</v>
      </c>
    </row>
    <row r="69" spans="1:7" x14ac:dyDescent="0.2">
      <c r="A69" s="94" t="s">
        <v>128</v>
      </c>
      <c r="B69">
        <v>0</v>
      </c>
      <c r="C69">
        <v>5</v>
      </c>
      <c r="D69">
        <v>27</v>
      </c>
      <c r="E69">
        <v>4</v>
      </c>
      <c r="F69">
        <f t="shared" si="4"/>
        <v>23</v>
      </c>
      <c r="G69" s="95">
        <f t="shared" si="5"/>
        <v>14.814814814814813</v>
      </c>
    </row>
    <row r="70" spans="1:7" x14ac:dyDescent="0.2">
      <c r="A70" s="94" t="s">
        <v>128</v>
      </c>
      <c r="B70">
        <v>0</v>
      </c>
      <c r="C70">
        <v>6</v>
      </c>
      <c r="D70">
        <v>18</v>
      </c>
      <c r="E70">
        <v>0</v>
      </c>
      <c r="F70">
        <f t="shared" si="4"/>
        <v>18</v>
      </c>
      <c r="G70" s="95">
        <f t="shared" si="5"/>
        <v>0</v>
      </c>
    </row>
    <row r="71" spans="1:7" x14ac:dyDescent="0.2">
      <c r="A71" s="94" t="s">
        <v>128</v>
      </c>
      <c r="B71">
        <v>49</v>
      </c>
      <c r="C71">
        <v>1</v>
      </c>
      <c r="D71">
        <v>39</v>
      </c>
      <c r="E71">
        <v>11</v>
      </c>
      <c r="F71">
        <f t="shared" si="4"/>
        <v>28</v>
      </c>
      <c r="G71" s="95">
        <f t="shared" si="5"/>
        <v>28.205128205128204</v>
      </c>
    </row>
    <row r="72" spans="1:7" x14ac:dyDescent="0.2">
      <c r="A72" s="94" t="s">
        <v>128</v>
      </c>
      <c r="B72">
        <v>49</v>
      </c>
      <c r="C72">
        <v>2</v>
      </c>
      <c r="D72">
        <v>24</v>
      </c>
      <c r="E72">
        <v>8</v>
      </c>
      <c r="F72">
        <f t="shared" si="4"/>
        <v>16</v>
      </c>
      <c r="G72" s="95">
        <f t="shared" si="5"/>
        <v>33.333333333333329</v>
      </c>
    </row>
    <row r="73" spans="1:7" x14ac:dyDescent="0.2">
      <c r="A73" s="94" t="s">
        <v>128</v>
      </c>
      <c r="B73">
        <v>49</v>
      </c>
      <c r="C73">
        <v>3</v>
      </c>
      <c r="D73">
        <v>20</v>
      </c>
      <c r="E73">
        <v>6</v>
      </c>
      <c r="F73">
        <f t="shared" si="4"/>
        <v>14</v>
      </c>
      <c r="G73" s="95">
        <f t="shared" si="5"/>
        <v>30</v>
      </c>
    </row>
    <row r="74" spans="1:7" x14ac:dyDescent="0.2">
      <c r="A74" s="94" t="s">
        <v>128</v>
      </c>
      <c r="B74">
        <v>77</v>
      </c>
      <c r="C74">
        <v>1</v>
      </c>
      <c r="D74">
        <v>28</v>
      </c>
      <c r="E74">
        <v>6</v>
      </c>
      <c r="F74">
        <f t="shared" si="4"/>
        <v>22</v>
      </c>
      <c r="G74" s="95">
        <f t="shared" si="5"/>
        <v>21.428571428571427</v>
      </c>
    </row>
    <row r="75" spans="1:7" x14ac:dyDescent="0.2">
      <c r="A75" s="94" t="s">
        <v>128</v>
      </c>
      <c r="B75">
        <v>77</v>
      </c>
      <c r="C75">
        <v>2</v>
      </c>
      <c r="D75">
        <v>20</v>
      </c>
      <c r="E75">
        <v>2</v>
      </c>
      <c r="F75">
        <f t="shared" si="4"/>
        <v>18</v>
      </c>
      <c r="G75" s="95">
        <f t="shared" si="5"/>
        <v>10</v>
      </c>
    </row>
    <row r="76" spans="1:7" x14ac:dyDescent="0.2">
      <c r="A76" s="94" t="s">
        <v>128</v>
      </c>
      <c r="B76">
        <v>77</v>
      </c>
      <c r="C76">
        <v>3</v>
      </c>
      <c r="D76">
        <v>29</v>
      </c>
      <c r="E76">
        <v>4</v>
      </c>
      <c r="F76">
        <f t="shared" si="4"/>
        <v>25</v>
      </c>
      <c r="G76" s="95">
        <f t="shared" si="5"/>
        <v>13.793103448275861</v>
      </c>
    </row>
    <row r="77" spans="1:7" x14ac:dyDescent="0.2">
      <c r="A77" s="94" t="s">
        <v>128</v>
      </c>
      <c r="B77">
        <v>148</v>
      </c>
      <c r="C77">
        <v>1</v>
      </c>
      <c r="D77">
        <v>68</v>
      </c>
      <c r="E77">
        <v>21</v>
      </c>
      <c r="F77">
        <f t="shared" si="4"/>
        <v>47</v>
      </c>
      <c r="G77" s="95">
        <f t="shared" si="5"/>
        <v>30.882352941176471</v>
      </c>
    </row>
    <row r="78" spans="1:7" x14ac:dyDescent="0.2">
      <c r="A78" s="94" t="s">
        <v>128</v>
      </c>
      <c r="B78">
        <v>148</v>
      </c>
      <c r="C78">
        <v>2</v>
      </c>
      <c r="D78">
        <v>41</v>
      </c>
      <c r="E78">
        <v>12</v>
      </c>
      <c r="F78">
        <f t="shared" si="4"/>
        <v>29</v>
      </c>
      <c r="G78" s="95">
        <f t="shared" si="5"/>
        <v>29.268292682926827</v>
      </c>
    </row>
    <row r="79" spans="1:7" x14ac:dyDescent="0.2">
      <c r="A79" s="94" t="s">
        <v>128</v>
      </c>
      <c r="B79">
        <v>148</v>
      </c>
      <c r="C79">
        <v>3</v>
      </c>
      <c r="D79">
        <v>17</v>
      </c>
      <c r="E79">
        <v>7</v>
      </c>
      <c r="F79">
        <f t="shared" si="4"/>
        <v>10</v>
      </c>
      <c r="G79" s="95">
        <f t="shared" si="5"/>
        <v>41.17647058823529</v>
      </c>
    </row>
    <row r="80" spans="1:7" x14ac:dyDescent="0.2">
      <c r="A80" s="94" t="s">
        <v>128</v>
      </c>
      <c r="B80">
        <v>231</v>
      </c>
      <c r="C80">
        <v>1</v>
      </c>
      <c r="D80">
        <v>14</v>
      </c>
      <c r="E80">
        <v>4</v>
      </c>
      <c r="F80">
        <f t="shared" si="4"/>
        <v>10</v>
      </c>
      <c r="G80" s="95">
        <f t="shared" si="5"/>
        <v>28.571428571428569</v>
      </c>
    </row>
    <row r="81" spans="1:7" x14ac:dyDescent="0.2">
      <c r="A81" s="94" t="s">
        <v>128</v>
      </c>
      <c r="B81">
        <v>231</v>
      </c>
      <c r="C81">
        <v>2</v>
      </c>
      <c r="D81">
        <v>21</v>
      </c>
      <c r="E81">
        <v>3</v>
      </c>
      <c r="F81">
        <f t="shared" si="4"/>
        <v>18</v>
      </c>
      <c r="G81" s="95">
        <f t="shared" si="5"/>
        <v>14.285714285714285</v>
      </c>
    </row>
    <row r="82" spans="1:7" x14ac:dyDescent="0.2">
      <c r="A82" s="94" t="s">
        <v>128</v>
      </c>
      <c r="B82">
        <v>231</v>
      </c>
      <c r="C82">
        <v>3</v>
      </c>
      <c r="D82">
        <v>39</v>
      </c>
      <c r="E82">
        <v>5</v>
      </c>
      <c r="F82">
        <f t="shared" si="4"/>
        <v>34</v>
      </c>
      <c r="G82" s="95">
        <f t="shared" si="5"/>
        <v>12.820512820512819</v>
      </c>
    </row>
    <row r="83" spans="1:7" x14ac:dyDescent="0.2">
      <c r="A83" s="94" t="s">
        <v>128</v>
      </c>
      <c r="B83">
        <v>444</v>
      </c>
      <c r="C83">
        <v>1</v>
      </c>
      <c r="D83">
        <v>82</v>
      </c>
      <c r="E83">
        <v>24</v>
      </c>
      <c r="F83">
        <f t="shared" si="4"/>
        <v>58</v>
      </c>
      <c r="G83" s="95">
        <f t="shared" si="5"/>
        <v>29.268292682926827</v>
      </c>
    </row>
    <row r="84" spans="1:7" x14ac:dyDescent="0.2">
      <c r="A84" s="94" t="s">
        <v>128</v>
      </c>
      <c r="B84">
        <v>444</v>
      </c>
      <c r="C84">
        <v>2</v>
      </c>
      <c r="D84">
        <v>25</v>
      </c>
      <c r="E84">
        <v>8</v>
      </c>
      <c r="F84">
        <f t="shared" si="4"/>
        <v>17</v>
      </c>
      <c r="G84" s="95">
        <f t="shared" si="5"/>
        <v>32</v>
      </c>
    </row>
    <row r="85" spans="1:7" x14ac:dyDescent="0.2">
      <c r="A85" s="94" t="s">
        <v>128</v>
      </c>
      <c r="B85">
        <v>444</v>
      </c>
      <c r="C85">
        <v>3</v>
      </c>
      <c r="D85">
        <v>55</v>
      </c>
      <c r="E85">
        <v>12</v>
      </c>
      <c r="F85">
        <f t="shared" si="4"/>
        <v>43</v>
      </c>
      <c r="G85" s="95">
        <f t="shared" si="5"/>
        <v>21.818181818181817</v>
      </c>
    </row>
    <row r="86" spans="1:7" x14ac:dyDescent="0.2">
      <c r="A86" s="94" t="s">
        <v>128</v>
      </c>
      <c r="B86">
        <v>694</v>
      </c>
      <c r="C86">
        <v>1</v>
      </c>
      <c r="D86">
        <v>17</v>
      </c>
      <c r="E86">
        <v>5</v>
      </c>
      <c r="F86">
        <f t="shared" si="4"/>
        <v>12</v>
      </c>
      <c r="G86" s="95">
        <f t="shared" si="5"/>
        <v>29.411764705882355</v>
      </c>
    </row>
    <row r="87" spans="1:7" x14ac:dyDescent="0.2">
      <c r="A87" s="94" t="s">
        <v>128</v>
      </c>
      <c r="B87">
        <v>694</v>
      </c>
      <c r="C87">
        <v>2</v>
      </c>
      <c r="D87">
        <v>22</v>
      </c>
      <c r="E87">
        <v>4</v>
      </c>
      <c r="F87">
        <f t="shared" si="4"/>
        <v>18</v>
      </c>
      <c r="G87" s="95">
        <f t="shared" si="5"/>
        <v>18.181818181818183</v>
      </c>
    </row>
    <row r="88" spans="1:7" x14ac:dyDescent="0.2">
      <c r="A88" s="94" t="s">
        <v>128</v>
      </c>
      <c r="B88">
        <v>694</v>
      </c>
      <c r="C88">
        <v>3</v>
      </c>
      <c r="D88">
        <v>15</v>
      </c>
      <c r="E88">
        <v>4</v>
      </c>
      <c r="F88">
        <f t="shared" si="4"/>
        <v>11</v>
      </c>
      <c r="G88" s="95">
        <f t="shared" si="5"/>
        <v>26.666666666666668</v>
      </c>
    </row>
    <row r="89" spans="1:7" x14ac:dyDescent="0.2">
      <c r="A89" s="94" t="s">
        <v>128</v>
      </c>
      <c r="B89">
        <v>1333</v>
      </c>
      <c r="C89">
        <v>1</v>
      </c>
      <c r="D89">
        <v>21</v>
      </c>
      <c r="E89">
        <v>8</v>
      </c>
      <c r="F89">
        <f t="shared" si="4"/>
        <v>13</v>
      </c>
      <c r="G89" s="95">
        <f t="shared" si="5"/>
        <v>38.095238095238095</v>
      </c>
    </row>
    <row r="90" spans="1:7" x14ac:dyDescent="0.2">
      <c r="A90" s="94" t="s">
        <v>128</v>
      </c>
      <c r="B90">
        <v>1333</v>
      </c>
      <c r="C90">
        <v>2</v>
      </c>
      <c r="D90">
        <v>27</v>
      </c>
      <c r="E90">
        <v>8</v>
      </c>
      <c r="F90">
        <f t="shared" si="4"/>
        <v>19</v>
      </c>
      <c r="G90" s="95">
        <f t="shared" si="5"/>
        <v>29.629629629629626</v>
      </c>
    </row>
    <row r="91" spans="1:7" x14ac:dyDescent="0.2">
      <c r="A91" s="94" t="s">
        <v>128</v>
      </c>
      <c r="B91">
        <v>1333</v>
      </c>
      <c r="C91">
        <v>3</v>
      </c>
      <c r="D91">
        <v>37</v>
      </c>
      <c r="E91">
        <v>13</v>
      </c>
      <c r="F91">
        <f t="shared" si="4"/>
        <v>24</v>
      </c>
      <c r="G91" s="95">
        <f t="shared" si="5"/>
        <v>35.135135135135137</v>
      </c>
    </row>
    <row r="92" spans="1:7" x14ac:dyDescent="0.2">
      <c r="A92" s="94" t="s">
        <v>128</v>
      </c>
      <c r="B92">
        <v>2083</v>
      </c>
      <c r="C92">
        <v>1</v>
      </c>
      <c r="D92">
        <v>14</v>
      </c>
      <c r="E92">
        <v>6</v>
      </c>
      <c r="F92">
        <f t="shared" si="4"/>
        <v>8</v>
      </c>
      <c r="G92" s="95">
        <f t="shared" si="5"/>
        <v>42.857142857142854</v>
      </c>
    </row>
    <row r="93" spans="1:7" x14ac:dyDescent="0.2">
      <c r="A93" s="94" t="s">
        <v>128</v>
      </c>
      <c r="B93">
        <v>2083</v>
      </c>
      <c r="C93">
        <v>2</v>
      </c>
      <c r="D93">
        <v>31</v>
      </c>
      <c r="E93">
        <v>9</v>
      </c>
      <c r="F93">
        <f t="shared" si="4"/>
        <v>22</v>
      </c>
      <c r="G93" s="95">
        <f t="shared" si="5"/>
        <v>29.032258064516132</v>
      </c>
    </row>
    <row r="94" spans="1:7" x14ac:dyDescent="0.2">
      <c r="A94" s="94" t="s">
        <v>128</v>
      </c>
      <c r="B94">
        <v>2083</v>
      </c>
      <c r="C94">
        <v>3</v>
      </c>
      <c r="D94">
        <v>71</v>
      </c>
      <c r="E94">
        <v>12</v>
      </c>
      <c r="F94">
        <f t="shared" si="4"/>
        <v>59</v>
      </c>
      <c r="G94" s="95">
        <f t="shared" si="5"/>
        <v>16.901408450704224</v>
      </c>
    </row>
    <row r="95" spans="1:7" x14ac:dyDescent="0.2">
      <c r="A95" s="94" t="s">
        <v>128</v>
      </c>
      <c r="B95">
        <v>4000</v>
      </c>
      <c r="C95">
        <v>1</v>
      </c>
      <c r="D95">
        <v>19</v>
      </c>
      <c r="E95">
        <v>8</v>
      </c>
      <c r="F95">
        <f t="shared" si="4"/>
        <v>11</v>
      </c>
      <c r="G95" s="95">
        <f t="shared" si="5"/>
        <v>42.105263157894733</v>
      </c>
    </row>
    <row r="96" spans="1:7" x14ac:dyDescent="0.2">
      <c r="A96" s="94" t="s">
        <v>128</v>
      </c>
      <c r="B96">
        <v>4000</v>
      </c>
      <c r="C96">
        <v>2</v>
      </c>
      <c r="D96">
        <v>43</v>
      </c>
      <c r="E96">
        <v>11</v>
      </c>
      <c r="F96">
        <f t="shared" si="4"/>
        <v>32</v>
      </c>
      <c r="G96" s="95">
        <f t="shared" si="5"/>
        <v>25.581395348837212</v>
      </c>
    </row>
    <row r="97" spans="1:7" ht="17" thickBot="1" x14ac:dyDescent="0.25">
      <c r="A97" s="96" t="s">
        <v>128</v>
      </c>
      <c r="B97" s="97">
        <v>4000</v>
      </c>
      <c r="C97" s="97">
        <v>3</v>
      </c>
      <c r="D97" s="97">
        <v>36</v>
      </c>
      <c r="E97" s="97">
        <v>11</v>
      </c>
      <c r="F97" s="97">
        <f t="shared" si="4"/>
        <v>25</v>
      </c>
      <c r="G97" s="98">
        <f t="shared" si="5"/>
        <v>30.555555555555557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E994-2DF5-6843-9B1C-489B47B0DDB5}">
  <dimension ref="A1:V97"/>
  <sheetViews>
    <sheetView zoomScale="50" workbookViewId="0">
      <selection activeCell="Q1" sqref="Q1:Q1048576"/>
    </sheetView>
  </sheetViews>
  <sheetFormatPr baseColWidth="10" defaultRowHeight="16" x14ac:dyDescent="0.2"/>
  <cols>
    <col min="2" max="2" width="19.5" bestFit="1" customWidth="1"/>
    <col min="11" max="11" width="23.83203125" bestFit="1" customWidth="1"/>
    <col min="17" max="17" width="19.5" bestFit="1" customWidth="1"/>
  </cols>
  <sheetData>
    <row r="1" spans="1:22" x14ac:dyDescent="0.2">
      <c r="A1" s="99" t="s">
        <v>129</v>
      </c>
      <c r="B1" s="100" t="s">
        <v>124</v>
      </c>
      <c r="C1" s="100" t="s">
        <v>130</v>
      </c>
      <c r="D1" s="100" t="s">
        <v>68</v>
      </c>
      <c r="E1" s="100" t="s">
        <v>131</v>
      </c>
      <c r="F1" s="101" t="s">
        <v>44</v>
      </c>
      <c r="G1" s="102" t="s">
        <v>132</v>
      </c>
      <c r="P1" s="99" t="s">
        <v>129</v>
      </c>
      <c r="Q1" s="100" t="s">
        <v>143</v>
      </c>
      <c r="R1" s="100" t="s">
        <v>130</v>
      </c>
      <c r="S1" s="100" t="s">
        <v>68</v>
      </c>
      <c r="T1" s="100" t="s">
        <v>131</v>
      </c>
      <c r="U1" s="101" t="s">
        <v>44</v>
      </c>
      <c r="V1" s="102" t="s">
        <v>132</v>
      </c>
    </row>
    <row r="2" spans="1:22" x14ac:dyDescent="0.2">
      <c r="A2" s="94" t="s">
        <v>126</v>
      </c>
      <c r="B2">
        <v>0</v>
      </c>
      <c r="C2">
        <v>1</v>
      </c>
      <c r="D2">
        <v>20</v>
      </c>
      <c r="E2">
        <v>7</v>
      </c>
      <c r="F2">
        <f>D2-E2</f>
        <v>13</v>
      </c>
      <c r="G2" s="95">
        <f>E2/D2*100</f>
        <v>35</v>
      </c>
      <c r="I2" t="s">
        <v>134</v>
      </c>
      <c r="P2" s="94" t="s">
        <v>126</v>
      </c>
      <c r="Q2" s="140">
        <f>B2*143750</f>
        <v>0</v>
      </c>
      <c r="R2" s="140">
        <v>1</v>
      </c>
      <c r="S2" s="140">
        <v>20</v>
      </c>
      <c r="T2" s="140">
        <v>7</v>
      </c>
      <c r="U2" s="140">
        <f>S2-T2</f>
        <v>13</v>
      </c>
      <c r="V2" s="95">
        <f>T2/S2*100</f>
        <v>35</v>
      </c>
    </row>
    <row r="3" spans="1:22" x14ac:dyDescent="0.2">
      <c r="A3" s="94" t="s">
        <v>126</v>
      </c>
      <c r="B3">
        <v>0</v>
      </c>
      <c r="C3">
        <v>2</v>
      </c>
      <c r="D3">
        <v>33</v>
      </c>
      <c r="E3">
        <v>8</v>
      </c>
      <c r="F3">
        <f t="shared" ref="F3:F34" si="0">D3-E3</f>
        <v>25</v>
      </c>
      <c r="G3" s="95">
        <f t="shared" ref="G3:G34" si="1">E3/D3*100</f>
        <v>24.242424242424242</v>
      </c>
      <c r="I3" s="56" t="s">
        <v>61</v>
      </c>
      <c r="J3" s="56"/>
      <c r="P3" s="94" t="s">
        <v>126</v>
      </c>
      <c r="Q3" s="140">
        <f t="shared" ref="Q3:Q34" si="2">B3*143750</f>
        <v>0</v>
      </c>
      <c r="R3" s="140">
        <v>2</v>
      </c>
      <c r="S3" s="140">
        <v>33</v>
      </c>
      <c r="T3" s="140">
        <v>8</v>
      </c>
      <c r="U3" s="140">
        <f t="shared" ref="U3:U34" si="3">S3-T3</f>
        <v>25</v>
      </c>
      <c r="V3" s="95">
        <f t="shared" ref="V3:V34" si="4">T3/S3*100</f>
        <v>24.242424242424242</v>
      </c>
    </row>
    <row r="4" spans="1:22" x14ac:dyDescent="0.2">
      <c r="A4" s="94" t="s">
        <v>126</v>
      </c>
      <c r="B4">
        <v>0</v>
      </c>
      <c r="C4">
        <v>3</v>
      </c>
      <c r="D4">
        <v>32</v>
      </c>
      <c r="E4">
        <v>5</v>
      </c>
      <c r="F4">
        <f t="shared" si="0"/>
        <v>27</v>
      </c>
      <c r="G4" s="95">
        <f t="shared" si="1"/>
        <v>15.625</v>
      </c>
      <c r="I4" s="56">
        <v>2</v>
      </c>
      <c r="J4">
        <f>6.5*20*10^4</f>
        <v>1300000</v>
      </c>
      <c r="K4" s="103">
        <v>1120000</v>
      </c>
      <c r="M4">
        <f>J5/J4*100</f>
        <v>30.76923076923077</v>
      </c>
      <c r="N4" t="s">
        <v>136</v>
      </c>
      <c r="P4" s="94" t="s">
        <v>126</v>
      </c>
      <c r="Q4" s="140">
        <f t="shared" si="2"/>
        <v>0</v>
      </c>
      <c r="R4" s="140">
        <v>3</v>
      </c>
      <c r="S4" s="140">
        <v>32</v>
      </c>
      <c r="T4" s="140">
        <v>5</v>
      </c>
      <c r="U4" s="140">
        <f t="shared" si="3"/>
        <v>27</v>
      </c>
      <c r="V4" s="95">
        <f t="shared" si="4"/>
        <v>15.625</v>
      </c>
    </row>
    <row r="5" spans="1:22" x14ac:dyDescent="0.2">
      <c r="A5" s="94" t="s">
        <v>126</v>
      </c>
      <c r="B5">
        <v>0</v>
      </c>
      <c r="C5">
        <v>4</v>
      </c>
      <c r="D5">
        <v>30</v>
      </c>
      <c r="E5">
        <v>2</v>
      </c>
      <c r="F5">
        <f t="shared" si="0"/>
        <v>28</v>
      </c>
      <c r="G5" s="95">
        <f t="shared" si="1"/>
        <v>6.666666666666667</v>
      </c>
      <c r="I5" s="56">
        <v>3</v>
      </c>
      <c r="J5">
        <f>2*20*10^4</f>
        <v>400000</v>
      </c>
      <c r="K5" s="103">
        <v>480000</v>
      </c>
      <c r="P5" s="94" t="s">
        <v>126</v>
      </c>
      <c r="Q5" s="140">
        <f t="shared" si="2"/>
        <v>0</v>
      </c>
      <c r="R5" s="140">
        <v>4</v>
      </c>
      <c r="S5" s="140">
        <v>30</v>
      </c>
      <c r="T5" s="140">
        <v>2</v>
      </c>
      <c r="U5" s="140">
        <f t="shared" si="3"/>
        <v>28</v>
      </c>
      <c r="V5" s="95">
        <f t="shared" si="4"/>
        <v>6.666666666666667</v>
      </c>
    </row>
    <row r="6" spans="1:22" x14ac:dyDescent="0.2">
      <c r="A6" s="94" t="s">
        <v>126</v>
      </c>
      <c r="B6">
        <v>0</v>
      </c>
      <c r="C6">
        <v>5</v>
      </c>
      <c r="D6">
        <v>35</v>
      </c>
      <c r="E6">
        <v>8</v>
      </c>
      <c r="F6">
        <f t="shared" si="0"/>
        <v>27</v>
      </c>
      <c r="G6" s="95">
        <f t="shared" si="1"/>
        <v>22.857142857142858</v>
      </c>
      <c r="P6" s="94" t="s">
        <v>126</v>
      </c>
      <c r="Q6" s="140">
        <f t="shared" si="2"/>
        <v>0</v>
      </c>
      <c r="R6" s="140">
        <v>5</v>
      </c>
      <c r="S6" s="140">
        <v>35</v>
      </c>
      <c r="T6" s="140">
        <v>8</v>
      </c>
      <c r="U6" s="140">
        <f t="shared" si="3"/>
        <v>27</v>
      </c>
      <c r="V6" s="95">
        <f t="shared" si="4"/>
        <v>22.857142857142858</v>
      </c>
    </row>
    <row r="7" spans="1:22" x14ac:dyDescent="0.2">
      <c r="A7" s="94" t="s">
        <v>126</v>
      </c>
      <c r="B7">
        <v>0</v>
      </c>
      <c r="C7">
        <v>6</v>
      </c>
      <c r="D7">
        <v>35</v>
      </c>
      <c r="E7">
        <v>7</v>
      </c>
      <c r="F7">
        <f t="shared" si="0"/>
        <v>28</v>
      </c>
      <c r="G7" s="95">
        <f t="shared" si="1"/>
        <v>20</v>
      </c>
      <c r="I7" t="s">
        <v>138</v>
      </c>
      <c r="P7" s="94" t="s">
        <v>126</v>
      </c>
      <c r="Q7" s="140">
        <f t="shared" si="2"/>
        <v>0</v>
      </c>
      <c r="R7" s="140">
        <v>6</v>
      </c>
      <c r="S7" s="140">
        <v>35</v>
      </c>
      <c r="T7" s="140">
        <v>7</v>
      </c>
      <c r="U7" s="140">
        <f t="shared" si="3"/>
        <v>28</v>
      </c>
      <c r="V7" s="95">
        <f t="shared" si="4"/>
        <v>20</v>
      </c>
    </row>
    <row r="8" spans="1:22" x14ac:dyDescent="0.2">
      <c r="A8" s="94" t="s">
        <v>126</v>
      </c>
      <c r="B8">
        <v>0.53</v>
      </c>
      <c r="C8">
        <v>1</v>
      </c>
      <c r="D8">
        <v>25</v>
      </c>
      <c r="E8">
        <v>6</v>
      </c>
      <c r="F8">
        <f t="shared" si="0"/>
        <v>19</v>
      </c>
      <c r="G8" s="95">
        <f t="shared" si="1"/>
        <v>24</v>
      </c>
      <c r="I8" t="s">
        <v>142</v>
      </c>
      <c r="K8" t="s">
        <v>145</v>
      </c>
      <c r="L8">
        <f>K4/704</f>
        <v>1590.909090909091</v>
      </c>
      <c r="P8" s="94" t="s">
        <v>126</v>
      </c>
      <c r="Q8" s="140">
        <f t="shared" si="2"/>
        <v>76187.5</v>
      </c>
      <c r="R8" s="140">
        <v>1</v>
      </c>
      <c r="S8" s="140">
        <v>25</v>
      </c>
      <c r="T8" s="140">
        <v>6</v>
      </c>
      <c r="U8" s="140">
        <f t="shared" si="3"/>
        <v>19</v>
      </c>
      <c r="V8" s="95">
        <f t="shared" si="4"/>
        <v>24</v>
      </c>
    </row>
    <row r="9" spans="1:22" x14ac:dyDescent="0.2">
      <c r="A9" s="94" t="s">
        <v>126</v>
      </c>
      <c r="B9">
        <v>0.53</v>
      </c>
      <c r="C9">
        <v>2</v>
      </c>
      <c r="D9">
        <v>21</v>
      </c>
      <c r="E9">
        <v>4</v>
      </c>
      <c r="F9">
        <f t="shared" si="0"/>
        <v>17</v>
      </c>
      <c r="G9" s="95">
        <f t="shared" si="1"/>
        <v>19.047619047619047</v>
      </c>
      <c r="P9" s="94" t="s">
        <v>126</v>
      </c>
      <c r="Q9" s="140">
        <f t="shared" si="2"/>
        <v>76187.5</v>
      </c>
      <c r="R9" s="140">
        <v>2</v>
      </c>
      <c r="S9" s="140">
        <v>21</v>
      </c>
      <c r="T9" s="140">
        <v>4</v>
      </c>
      <c r="U9" s="140">
        <f t="shared" si="3"/>
        <v>17</v>
      </c>
      <c r="V9" s="95">
        <f t="shared" si="4"/>
        <v>19.047619047619047</v>
      </c>
    </row>
    <row r="10" spans="1:22" x14ac:dyDescent="0.2">
      <c r="A10" s="94" t="s">
        <v>126</v>
      </c>
      <c r="B10">
        <v>0.53</v>
      </c>
      <c r="C10">
        <v>3</v>
      </c>
      <c r="D10">
        <v>41</v>
      </c>
      <c r="E10">
        <v>10</v>
      </c>
      <c r="F10">
        <f t="shared" si="0"/>
        <v>31</v>
      </c>
      <c r="G10" s="95">
        <f t="shared" si="1"/>
        <v>24.390243902439025</v>
      </c>
      <c r="I10" t="s">
        <v>128</v>
      </c>
      <c r="P10" s="94" t="s">
        <v>126</v>
      </c>
      <c r="Q10" s="140">
        <f t="shared" si="2"/>
        <v>76187.5</v>
      </c>
      <c r="R10" s="140">
        <v>3</v>
      </c>
      <c r="S10" s="140">
        <v>41</v>
      </c>
      <c r="T10" s="140">
        <v>10</v>
      </c>
      <c r="U10" s="140">
        <f t="shared" si="3"/>
        <v>31</v>
      </c>
      <c r="V10" s="95">
        <f t="shared" si="4"/>
        <v>24.390243902439025</v>
      </c>
    </row>
    <row r="11" spans="1:22" x14ac:dyDescent="0.2">
      <c r="A11" s="94" t="s">
        <v>126</v>
      </c>
      <c r="B11">
        <v>1.6</v>
      </c>
      <c r="C11">
        <v>1</v>
      </c>
      <c r="D11">
        <v>27</v>
      </c>
      <c r="E11">
        <v>8</v>
      </c>
      <c r="F11">
        <f t="shared" si="0"/>
        <v>19</v>
      </c>
      <c r="G11" s="95">
        <f t="shared" si="1"/>
        <v>29.629629629629626</v>
      </c>
      <c r="I11" t="s">
        <v>61</v>
      </c>
      <c r="J11" s="74"/>
      <c r="P11" s="94" t="s">
        <v>126</v>
      </c>
      <c r="Q11" s="140">
        <f t="shared" si="2"/>
        <v>230000</v>
      </c>
      <c r="R11" s="140">
        <v>1</v>
      </c>
      <c r="S11" s="140">
        <v>27</v>
      </c>
      <c r="T11" s="140">
        <v>8</v>
      </c>
      <c r="U11" s="140">
        <f t="shared" si="3"/>
        <v>19</v>
      </c>
      <c r="V11" s="95">
        <f t="shared" si="4"/>
        <v>29.629629629629626</v>
      </c>
    </row>
    <row r="12" spans="1:22" x14ac:dyDescent="0.2">
      <c r="A12" s="94" t="s">
        <v>126</v>
      </c>
      <c r="B12">
        <v>1.6</v>
      </c>
      <c r="C12">
        <v>2</v>
      </c>
      <c r="D12">
        <v>24</v>
      </c>
      <c r="E12">
        <v>7</v>
      </c>
      <c r="F12">
        <f t="shared" si="0"/>
        <v>17</v>
      </c>
      <c r="G12" s="95">
        <f t="shared" si="1"/>
        <v>29.166666666666668</v>
      </c>
      <c r="I12">
        <v>2</v>
      </c>
      <c r="J12">
        <f>5.75*20*10^4</f>
        <v>1150000</v>
      </c>
      <c r="K12" s="103">
        <v>1150000</v>
      </c>
      <c r="M12">
        <f>J13/J12</f>
        <v>0.34782608695652173</v>
      </c>
      <c r="N12" t="s">
        <v>137</v>
      </c>
      <c r="P12" s="94" t="s">
        <v>126</v>
      </c>
      <c r="Q12" s="140">
        <f t="shared" si="2"/>
        <v>230000</v>
      </c>
      <c r="R12" s="140">
        <v>2</v>
      </c>
      <c r="S12" s="140">
        <v>24</v>
      </c>
      <c r="T12" s="140">
        <v>7</v>
      </c>
      <c r="U12" s="140">
        <f t="shared" si="3"/>
        <v>17</v>
      </c>
      <c r="V12" s="95">
        <f t="shared" si="4"/>
        <v>29.166666666666668</v>
      </c>
    </row>
    <row r="13" spans="1:22" x14ac:dyDescent="0.2">
      <c r="A13" s="94" t="s">
        <v>126</v>
      </c>
      <c r="B13">
        <v>1.6</v>
      </c>
      <c r="C13">
        <v>3</v>
      </c>
      <c r="D13">
        <v>38</v>
      </c>
      <c r="E13">
        <v>12</v>
      </c>
      <c r="F13">
        <f t="shared" si="0"/>
        <v>26</v>
      </c>
      <c r="G13" s="95">
        <f t="shared" si="1"/>
        <v>31.578947368421051</v>
      </c>
      <c r="I13">
        <v>3</v>
      </c>
      <c r="J13">
        <f>2*20*10^4</f>
        <v>400000</v>
      </c>
      <c r="K13" s="103">
        <v>400000</v>
      </c>
      <c r="P13" s="94" t="s">
        <v>126</v>
      </c>
      <c r="Q13" s="140">
        <f t="shared" si="2"/>
        <v>230000</v>
      </c>
      <c r="R13" s="140">
        <v>3</v>
      </c>
      <c r="S13" s="140">
        <v>38</v>
      </c>
      <c r="T13" s="140">
        <v>12</v>
      </c>
      <c r="U13" s="140">
        <f t="shared" si="3"/>
        <v>26</v>
      </c>
      <c r="V13" s="95">
        <f t="shared" si="4"/>
        <v>31.578947368421051</v>
      </c>
    </row>
    <row r="14" spans="1:22" x14ac:dyDescent="0.2">
      <c r="A14" s="94" t="s">
        <v>126</v>
      </c>
      <c r="B14">
        <v>4.4000000000000004</v>
      </c>
      <c r="C14">
        <v>1</v>
      </c>
      <c r="D14">
        <v>24</v>
      </c>
      <c r="E14">
        <v>6</v>
      </c>
      <c r="F14">
        <f t="shared" si="0"/>
        <v>18</v>
      </c>
      <c r="G14" s="95">
        <f t="shared" si="1"/>
        <v>25</v>
      </c>
      <c r="P14" s="94" t="s">
        <v>126</v>
      </c>
      <c r="Q14" s="140">
        <f t="shared" si="2"/>
        <v>632500</v>
      </c>
      <c r="R14" s="140">
        <v>1</v>
      </c>
      <c r="S14" s="140">
        <v>24</v>
      </c>
      <c r="T14" s="140">
        <v>6</v>
      </c>
      <c r="U14" s="140">
        <f t="shared" si="3"/>
        <v>18</v>
      </c>
      <c r="V14" s="95">
        <f t="shared" si="4"/>
        <v>25</v>
      </c>
    </row>
    <row r="15" spans="1:22" x14ac:dyDescent="0.2">
      <c r="A15" s="94" t="s">
        <v>126</v>
      </c>
      <c r="B15">
        <v>4.4000000000000004</v>
      </c>
      <c r="C15">
        <v>2</v>
      </c>
      <c r="D15">
        <v>62</v>
      </c>
      <c r="E15">
        <v>26</v>
      </c>
      <c r="F15">
        <f t="shared" si="0"/>
        <v>36</v>
      </c>
      <c r="G15" s="95">
        <f t="shared" si="1"/>
        <v>41.935483870967744</v>
      </c>
      <c r="I15" t="s">
        <v>138</v>
      </c>
      <c r="P15" s="94" t="s">
        <v>126</v>
      </c>
      <c r="Q15" s="140">
        <f t="shared" si="2"/>
        <v>632500</v>
      </c>
      <c r="R15" s="140">
        <v>2</v>
      </c>
      <c r="S15" s="140">
        <v>62</v>
      </c>
      <c r="T15" s="140">
        <v>26</v>
      </c>
      <c r="U15" s="140">
        <f t="shared" si="3"/>
        <v>36</v>
      </c>
      <c r="V15" s="95">
        <f t="shared" si="4"/>
        <v>41.935483870967744</v>
      </c>
    </row>
    <row r="16" spans="1:22" x14ac:dyDescent="0.2">
      <c r="A16" s="94" t="s">
        <v>126</v>
      </c>
      <c r="B16">
        <v>4.4000000000000004</v>
      </c>
      <c r="C16">
        <v>3</v>
      </c>
      <c r="D16">
        <v>28</v>
      </c>
      <c r="E16">
        <v>8</v>
      </c>
      <c r="F16">
        <f t="shared" si="0"/>
        <v>20</v>
      </c>
      <c r="G16" s="95">
        <f t="shared" si="1"/>
        <v>28.571428571428569</v>
      </c>
      <c r="I16" t="s">
        <v>142</v>
      </c>
      <c r="K16" t="s">
        <v>144</v>
      </c>
      <c r="L16">
        <f>K12/1333</f>
        <v>862.71567891972995</v>
      </c>
      <c r="P16" s="94" t="s">
        <v>126</v>
      </c>
      <c r="Q16" s="140">
        <f t="shared" si="2"/>
        <v>632500</v>
      </c>
      <c r="R16" s="140">
        <v>3</v>
      </c>
      <c r="S16" s="140">
        <v>28</v>
      </c>
      <c r="T16" s="140">
        <v>8</v>
      </c>
      <c r="U16" s="140">
        <f t="shared" si="3"/>
        <v>20</v>
      </c>
      <c r="V16" s="95">
        <f t="shared" si="4"/>
        <v>28.571428571428569</v>
      </c>
    </row>
    <row r="17" spans="1:22" x14ac:dyDescent="0.2">
      <c r="A17" s="94" t="s">
        <v>126</v>
      </c>
      <c r="B17">
        <v>4.7</v>
      </c>
      <c r="C17">
        <v>1</v>
      </c>
      <c r="D17">
        <v>21</v>
      </c>
      <c r="E17">
        <v>9</v>
      </c>
      <c r="F17">
        <f t="shared" si="0"/>
        <v>12</v>
      </c>
      <c r="G17" s="95">
        <f t="shared" si="1"/>
        <v>42.857142857142854</v>
      </c>
      <c r="P17" s="94" t="s">
        <v>126</v>
      </c>
      <c r="Q17" s="140">
        <f t="shared" si="2"/>
        <v>675625</v>
      </c>
      <c r="R17" s="140">
        <v>1</v>
      </c>
      <c r="S17" s="140">
        <v>21</v>
      </c>
      <c r="T17" s="140">
        <v>9</v>
      </c>
      <c r="U17" s="140">
        <f t="shared" si="3"/>
        <v>12</v>
      </c>
      <c r="V17" s="95">
        <f t="shared" si="4"/>
        <v>42.857142857142854</v>
      </c>
    </row>
    <row r="18" spans="1:22" x14ac:dyDescent="0.2">
      <c r="A18" s="94" t="s">
        <v>126</v>
      </c>
      <c r="B18">
        <v>4.7</v>
      </c>
      <c r="C18">
        <v>2</v>
      </c>
      <c r="D18">
        <v>57</v>
      </c>
      <c r="E18">
        <v>15</v>
      </c>
      <c r="F18">
        <f t="shared" si="0"/>
        <v>42</v>
      </c>
      <c r="G18" s="95">
        <f t="shared" si="1"/>
        <v>26.315789473684209</v>
      </c>
      <c r="I18" t="s">
        <v>135</v>
      </c>
      <c r="P18" s="94" t="s">
        <v>126</v>
      </c>
      <c r="Q18" s="140">
        <f t="shared" si="2"/>
        <v>675625</v>
      </c>
      <c r="R18" s="140">
        <v>2</v>
      </c>
      <c r="S18" s="140">
        <v>57</v>
      </c>
      <c r="T18" s="140">
        <v>15</v>
      </c>
      <c r="U18" s="140">
        <f t="shared" si="3"/>
        <v>42</v>
      </c>
      <c r="V18" s="95">
        <f t="shared" si="4"/>
        <v>26.315789473684209</v>
      </c>
    </row>
    <row r="19" spans="1:22" x14ac:dyDescent="0.2">
      <c r="A19" s="94" t="s">
        <v>126</v>
      </c>
      <c r="B19">
        <v>4.7</v>
      </c>
      <c r="C19">
        <v>3</v>
      </c>
      <c r="D19">
        <v>67</v>
      </c>
      <c r="E19">
        <v>19</v>
      </c>
      <c r="F19">
        <f t="shared" si="0"/>
        <v>48</v>
      </c>
      <c r="G19" s="95">
        <f t="shared" si="1"/>
        <v>28.35820895522388</v>
      </c>
      <c r="I19" t="s">
        <v>61</v>
      </c>
      <c r="P19" s="94" t="s">
        <v>126</v>
      </c>
      <c r="Q19" s="140">
        <f t="shared" si="2"/>
        <v>675625</v>
      </c>
      <c r="R19" s="140">
        <v>3</v>
      </c>
      <c r="S19" s="140">
        <v>67</v>
      </c>
      <c r="T19" s="140">
        <v>19</v>
      </c>
      <c r="U19" s="140">
        <f t="shared" si="3"/>
        <v>48</v>
      </c>
      <c r="V19" s="95">
        <f t="shared" si="4"/>
        <v>28.35820895522388</v>
      </c>
    </row>
    <row r="20" spans="1:22" x14ac:dyDescent="0.2">
      <c r="A20" s="94" t="s">
        <v>126</v>
      </c>
      <c r="B20">
        <v>13</v>
      </c>
      <c r="C20">
        <v>1</v>
      </c>
      <c r="D20">
        <v>15</v>
      </c>
      <c r="E20">
        <v>5</v>
      </c>
      <c r="F20">
        <f t="shared" si="0"/>
        <v>10</v>
      </c>
      <c r="G20" s="95">
        <f t="shared" si="1"/>
        <v>33.333333333333329</v>
      </c>
      <c r="I20" t="s">
        <v>110</v>
      </c>
      <c r="J20">
        <f>28.75*20*(10^4)</f>
        <v>5750000</v>
      </c>
      <c r="K20" s="103">
        <v>5750000</v>
      </c>
      <c r="M20">
        <f>J21/J20</f>
        <v>0.36521739130434783</v>
      </c>
      <c r="N20" t="s">
        <v>137</v>
      </c>
      <c r="P20" s="94" t="s">
        <v>126</v>
      </c>
      <c r="Q20" s="140">
        <f t="shared" si="2"/>
        <v>1868750</v>
      </c>
      <c r="R20" s="140">
        <v>1</v>
      </c>
      <c r="S20" s="140">
        <v>15</v>
      </c>
      <c r="T20" s="140">
        <v>5</v>
      </c>
      <c r="U20" s="140">
        <f t="shared" si="3"/>
        <v>10</v>
      </c>
      <c r="V20" s="95">
        <f t="shared" si="4"/>
        <v>33.333333333333329</v>
      </c>
    </row>
    <row r="21" spans="1:22" x14ac:dyDescent="0.2">
      <c r="A21" s="94" t="s">
        <v>126</v>
      </c>
      <c r="B21">
        <v>13</v>
      </c>
      <c r="C21">
        <v>2</v>
      </c>
      <c r="D21">
        <v>43</v>
      </c>
      <c r="E21">
        <v>16</v>
      </c>
      <c r="F21">
        <f t="shared" si="0"/>
        <v>27</v>
      </c>
      <c r="G21" s="95">
        <f t="shared" si="1"/>
        <v>37.209302325581397</v>
      </c>
      <c r="I21" t="s">
        <v>112</v>
      </c>
      <c r="J21">
        <f>10.5*20*(10^4)</f>
        <v>2100000</v>
      </c>
      <c r="K21" s="103">
        <v>2100000</v>
      </c>
      <c r="P21" s="94" t="s">
        <v>126</v>
      </c>
      <c r="Q21" s="140">
        <f t="shared" si="2"/>
        <v>1868750</v>
      </c>
      <c r="R21" s="140">
        <v>2</v>
      </c>
      <c r="S21" s="140">
        <v>43</v>
      </c>
      <c r="T21" s="140">
        <v>16</v>
      </c>
      <c r="U21" s="140">
        <f t="shared" si="3"/>
        <v>27</v>
      </c>
      <c r="V21" s="95">
        <f t="shared" si="4"/>
        <v>37.209302325581397</v>
      </c>
    </row>
    <row r="22" spans="1:22" x14ac:dyDescent="0.2">
      <c r="A22" s="94" t="s">
        <v>126</v>
      </c>
      <c r="B22">
        <v>13</v>
      </c>
      <c r="C22">
        <v>3</v>
      </c>
      <c r="D22">
        <v>64</v>
      </c>
      <c r="E22">
        <v>20</v>
      </c>
      <c r="F22">
        <f t="shared" si="0"/>
        <v>44</v>
      </c>
      <c r="G22" s="95">
        <f t="shared" si="1"/>
        <v>31.25</v>
      </c>
      <c r="P22" s="94" t="s">
        <v>126</v>
      </c>
      <c r="Q22" s="140">
        <f t="shared" si="2"/>
        <v>1868750</v>
      </c>
      <c r="R22" s="140">
        <v>3</v>
      </c>
      <c r="S22" s="140">
        <v>64</v>
      </c>
      <c r="T22" s="140">
        <v>20</v>
      </c>
      <c r="U22" s="140">
        <f t="shared" si="3"/>
        <v>44</v>
      </c>
      <c r="V22" s="95">
        <f t="shared" si="4"/>
        <v>31.25</v>
      </c>
    </row>
    <row r="23" spans="1:22" x14ac:dyDescent="0.2">
      <c r="A23" s="94" t="s">
        <v>126</v>
      </c>
      <c r="B23">
        <v>14</v>
      </c>
      <c r="C23">
        <v>1</v>
      </c>
      <c r="D23">
        <v>13</v>
      </c>
      <c r="E23">
        <v>6</v>
      </c>
      <c r="F23">
        <f t="shared" si="0"/>
        <v>7</v>
      </c>
      <c r="G23" s="95">
        <f t="shared" si="1"/>
        <v>46.153846153846153</v>
      </c>
      <c r="I23" t="s">
        <v>138</v>
      </c>
      <c r="P23" s="94" t="s">
        <v>126</v>
      </c>
      <c r="Q23" s="140">
        <f t="shared" si="2"/>
        <v>2012500</v>
      </c>
      <c r="R23" s="140">
        <v>1</v>
      </c>
      <c r="S23" s="140">
        <v>13</v>
      </c>
      <c r="T23" s="140">
        <v>6</v>
      </c>
      <c r="U23" s="140">
        <f t="shared" si="3"/>
        <v>7</v>
      </c>
      <c r="V23" s="95">
        <f t="shared" si="4"/>
        <v>46.153846153846153</v>
      </c>
    </row>
    <row r="24" spans="1:22" x14ac:dyDescent="0.2">
      <c r="A24" s="94" t="s">
        <v>126</v>
      </c>
      <c r="B24">
        <v>14</v>
      </c>
      <c r="C24">
        <v>2</v>
      </c>
      <c r="D24">
        <v>50</v>
      </c>
      <c r="E24">
        <v>17</v>
      </c>
      <c r="F24">
        <f t="shared" si="0"/>
        <v>33</v>
      </c>
      <c r="G24" s="95">
        <f t="shared" si="1"/>
        <v>34</v>
      </c>
      <c r="I24" t="s">
        <v>139</v>
      </c>
      <c r="K24" t="s">
        <v>140</v>
      </c>
      <c r="L24">
        <f>5750000/40</f>
        <v>143750</v>
      </c>
      <c r="M24" t="s">
        <v>141</v>
      </c>
      <c r="P24" s="94" t="s">
        <v>126</v>
      </c>
      <c r="Q24" s="140">
        <f t="shared" si="2"/>
        <v>2012500</v>
      </c>
      <c r="R24" s="140">
        <v>2</v>
      </c>
      <c r="S24" s="140">
        <v>50</v>
      </c>
      <c r="T24" s="140">
        <v>17</v>
      </c>
      <c r="U24" s="140">
        <f t="shared" si="3"/>
        <v>33</v>
      </c>
      <c r="V24" s="95">
        <f t="shared" si="4"/>
        <v>34</v>
      </c>
    </row>
    <row r="25" spans="1:22" x14ac:dyDescent="0.2">
      <c r="A25" s="94" t="s">
        <v>126</v>
      </c>
      <c r="B25">
        <v>14</v>
      </c>
      <c r="C25">
        <v>3</v>
      </c>
      <c r="D25">
        <v>49</v>
      </c>
      <c r="E25">
        <v>18</v>
      </c>
      <c r="F25">
        <f t="shared" si="0"/>
        <v>31</v>
      </c>
      <c r="G25" s="95">
        <f t="shared" si="1"/>
        <v>36.734693877551024</v>
      </c>
      <c r="P25" s="94" t="s">
        <v>126</v>
      </c>
      <c r="Q25" s="140">
        <f t="shared" si="2"/>
        <v>2012500</v>
      </c>
      <c r="R25" s="140">
        <v>3</v>
      </c>
      <c r="S25" s="140">
        <v>49</v>
      </c>
      <c r="T25" s="140">
        <v>18</v>
      </c>
      <c r="U25" s="140">
        <f t="shared" si="3"/>
        <v>31</v>
      </c>
      <c r="V25" s="95">
        <f t="shared" si="4"/>
        <v>36.734693877551024</v>
      </c>
    </row>
    <row r="26" spans="1:22" x14ac:dyDescent="0.2">
      <c r="A26" s="94" t="s">
        <v>126</v>
      </c>
      <c r="B26">
        <v>40</v>
      </c>
      <c r="C26">
        <v>1</v>
      </c>
      <c r="D26">
        <v>21</v>
      </c>
      <c r="E26">
        <v>8</v>
      </c>
      <c r="F26">
        <f t="shared" si="0"/>
        <v>13</v>
      </c>
      <c r="G26" s="95">
        <f t="shared" si="1"/>
        <v>38.095238095238095</v>
      </c>
      <c r="P26" s="94" t="s">
        <v>126</v>
      </c>
      <c r="Q26" s="140">
        <f t="shared" si="2"/>
        <v>5750000</v>
      </c>
      <c r="R26" s="140">
        <v>1</v>
      </c>
      <c r="S26" s="140">
        <v>21</v>
      </c>
      <c r="T26" s="140">
        <v>8</v>
      </c>
      <c r="U26" s="140">
        <f t="shared" si="3"/>
        <v>13</v>
      </c>
      <c r="V26" s="95">
        <f t="shared" si="4"/>
        <v>38.095238095238095</v>
      </c>
    </row>
    <row r="27" spans="1:22" x14ac:dyDescent="0.2">
      <c r="A27" s="94" t="s">
        <v>126</v>
      </c>
      <c r="B27">
        <v>40</v>
      </c>
      <c r="C27">
        <v>2</v>
      </c>
      <c r="D27">
        <v>54</v>
      </c>
      <c r="E27">
        <v>21</v>
      </c>
      <c r="F27">
        <f t="shared" si="0"/>
        <v>33</v>
      </c>
      <c r="G27" s="95">
        <f t="shared" si="1"/>
        <v>38.888888888888893</v>
      </c>
      <c r="P27" s="94" t="s">
        <v>126</v>
      </c>
      <c r="Q27" s="140">
        <f t="shared" si="2"/>
        <v>5750000</v>
      </c>
      <c r="R27" s="140">
        <v>2</v>
      </c>
      <c r="S27" s="140">
        <v>54</v>
      </c>
      <c r="T27" s="140">
        <v>21</v>
      </c>
      <c r="U27" s="140">
        <f t="shared" si="3"/>
        <v>33</v>
      </c>
      <c r="V27" s="95">
        <f t="shared" si="4"/>
        <v>38.888888888888893</v>
      </c>
    </row>
    <row r="28" spans="1:22" x14ac:dyDescent="0.2">
      <c r="A28" s="94" t="s">
        <v>126</v>
      </c>
      <c r="B28">
        <v>40</v>
      </c>
      <c r="C28">
        <v>3</v>
      </c>
      <c r="D28">
        <v>59</v>
      </c>
      <c r="E28">
        <v>22</v>
      </c>
      <c r="F28">
        <f t="shared" si="0"/>
        <v>37</v>
      </c>
      <c r="G28" s="95">
        <f t="shared" si="1"/>
        <v>37.288135593220339</v>
      </c>
      <c r="P28" s="94" t="s">
        <v>126</v>
      </c>
      <c r="Q28" s="140">
        <f t="shared" si="2"/>
        <v>5750000</v>
      </c>
      <c r="R28" s="140">
        <v>3</v>
      </c>
      <c r="S28" s="140">
        <v>59</v>
      </c>
      <c r="T28" s="140">
        <v>22</v>
      </c>
      <c r="U28" s="140">
        <f t="shared" si="3"/>
        <v>37</v>
      </c>
      <c r="V28" s="95">
        <f t="shared" si="4"/>
        <v>37.288135593220339</v>
      </c>
    </row>
    <row r="29" spans="1:22" x14ac:dyDescent="0.2">
      <c r="A29" s="94" t="s">
        <v>126</v>
      </c>
      <c r="B29">
        <v>43</v>
      </c>
      <c r="C29">
        <v>1</v>
      </c>
      <c r="D29">
        <v>11</v>
      </c>
      <c r="E29">
        <v>7</v>
      </c>
      <c r="F29">
        <f t="shared" si="0"/>
        <v>4</v>
      </c>
      <c r="G29" s="95">
        <f t="shared" si="1"/>
        <v>63.636363636363633</v>
      </c>
      <c r="P29" s="94" t="s">
        <v>126</v>
      </c>
      <c r="Q29" s="140">
        <f t="shared" si="2"/>
        <v>6181250</v>
      </c>
      <c r="R29" s="140">
        <v>1</v>
      </c>
      <c r="S29" s="140">
        <v>11</v>
      </c>
      <c r="T29" s="140">
        <v>7</v>
      </c>
      <c r="U29" s="140">
        <f t="shared" si="3"/>
        <v>4</v>
      </c>
      <c r="V29" s="95">
        <f t="shared" si="4"/>
        <v>63.636363636363633</v>
      </c>
    </row>
    <row r="30" spans="1:22" x14ac:dyDescent="0.2">
      <c r="A30" s="94" t="s">
        <v>126</v>
      </c>
      <c r="B30">
        <v>43</v>
      </c>
      <c r="C30">
        <v>2</v>
      </c>
      <c r="D30">
        <v>46</v>
      </c>
      <c r="E30">
        <v>16</v>
      </c>
      <c r="F30">
        <f t="shared" si="0"/>
        <v>30</v>
      </c>
      <c r="G30" s="95">
        <f t="shared" si="1"/>
        <v>34.782608695652172</v>
      </c>
      <c r="P30" s="94" t="s">
        <v>126</v>
      </c>
      <c r="Q30" s="140">
        <f t="shared" si="2"/>
        <v>6181250</v>
      </c>
      <c r="R30" s="140">
        <v>2</v>
      </c>
      <c r="S30" s="140">
        <v>46</v>
      </c>
      <c r="T30" s="140">
        <v>16</v>
      </c>
      <c r="U30" s="140">
        <f t="shared" si="3"/>
        <v>30</v>
      </c>
      <c r="V30" s="95">
        <f t="shared" si="4"/>
        <v>34.782608695652172</v>
      </c>
    </row>
    <row r="31" spans="1:22" x14ac:dyDescent="0.2">
      <c r="A31" s="94" t="s">
        <v>126</v>
      </c>
      <c r="B31">
        <v>43</v>
      </c>
      <c r="C31">
        <v>3</v>
      </c>
      <c r="D31">
        <v>19</v>
      </c>
      <c r="E31">
        <v>7</v>
      </c>
      <c r="F31">
        <f t="shared" si="0"/>
        <v>12</v>
      </c>
      <c r="G31" s="95">
        <f t="shared" si="1"/>
        <v>36.84210526315789</v>
      </c>
      <c r="P31" s="94" t="s">
        <v>126</v>
      </c>
      <c r="Q31" s="140">
        <f t="shared" si="2"/>
        <v>6181250</v>
      </c>
      <c r="R31" s="140">
        <v>3</v>
      </c>
      <c r="S31" s="140">
        <v>19</v>
      </c>
      <c r="T31" s="140">
        <v>7</v>
      </c>
      <c r="U31" s="140">
        <f t="shared" si="3"/>
        <v>12</v>
      </c>
      <c r="V31" s="95">
        <f t="shared" si="4"/>
        <v>36.84210526315789</v>
      </c>
    </row>
    <row r="32" spans="1:22" x14ac:dyDescent="0.2">
      <c r="A32" s="94" t="s">
        <v>126</v>
      </c>
      <c r="B32">
        <v>120</v>
      </c>
      <c r="C32">
        <v>1</v>
      </c>
      <c r="D32">
        <v>22</v>
      </c>
      <c r="E32">
        <v>10</v>
      </c>
      <c r="F32">
        <f t="shared" si="0"/>
        <v>12</v>
      </c>
      <c r="G32" s="95">
        <f t="shared" si="1"/>
        <v>45.454545454545453</v>
      </c>
      <c r="P32" s="94" t="s">
        <v>126</v>
      </c>
      <c r="Q32" s="140">
        <f t="shared" si="2"/>
        <v>17250000</v>
      </c>
      <c r="R32" s="140">
        <v>1</v>
      </c>
      <c r="S32" s="140">
        <v>22</v>
      </c>
      <c r="T32" s="140">
        <v>10</v>
      </c>
      <c r="U32" s="140">
        <f t="shared" si="3"/>
        <v>12</v>
      </c>
      <c r="V32" s="95">
        <f t="shared" si="4"/>
        <v>45.454545454545453</v>
      </c>
    </row>
    <row r="33" spans="1:22" x14ac:dyDescent="0.2">
      <c r="A33" s="94" t="s">
        <v>126</v>
      </c>
      <c r="B33">
        <v>120</v>
      </c>
      <c r="C33">
        <v>2</v>
      </c>
      <c r="D33">
        <v>38</v>
      </c>
      <c r="E33">
        <v>12</v>
      </c>
      <c r="F33">
        <f t="shared" si="0"/>
        <v>26</v>
      </c>
      <c r="G33" s="95">
        <f t="shared" si="1"/>
        <v>31.578947368421051</v>
      </c>
      <c r="P33" s="94" t="s">
        <v>126</v>
      </c>
      <c r="Q33" s="140">
        <f t="shared" si="2"/>
        <v>17250000</v>
      </c>
      <c r="R33" s="140">
        <v>2</v>
      </c>
      <c r="S33" s="140">
        <v>38</v>
      </c>
      <c r="T33" s="140">
        <v>12</v>
      </c>
      <c r="U33" s="140">
        <f t="shared" si="3"/>
        <v>26</v>
      </c>
      <c r="V33" s="95">
        <f t="shared" si="4"/>
        <v>31.578947368421051</v>
      </c>
    </row>
    <row r="34" spans="1:22" x14ac:dyDescent="0.2">
      <c r="A34" s="94" t="s">
        <v>126</v>
      </c>
      <c r="B34">
        <v>120</v>
      </c>
      <c r="C34">
        <v>3</v>
      </c>
      <c r="D34">
        <v>40</v>
      </c>
      <c r="E34">
        <v>14</v>
      </c>
      <c r="F34">
        <f t="shared" si="0"/>
        <v>26</v>
      </c>
      <c r="G34" s="95">
        <f t="shared" si="1"/>
        <v>35</v>
      </c>
      <c r="P34" s="94" t="s">
        <v>126</v>
      </c>
      <c r="Q34" s="140">
        <f t="shared" si="2"/>
        <v>17250000</v>
      </c>
      <c r="R34" s="140">
        <v>3</v>
      </c>
      <c r="S34" s="140">
        <v>40</v>
      </c>
      <c r="T34" s="140">
        <v>14</v>
      </c>
      <c r="U34" s="140">
        <f t="shared" si="3"/>
        <v>26</v>
      </c>
      <c r="V34" s="95">
        <f t="shared" si="4"/>
        <v>35</v>
      </c>
    </row>
    <row r="35" spans="1:22" x14ac:dyDescent="0.2">
      <c r="A35" s="94" t="s">
        <v>127</v>
      </c>
      <c r="B35">
        <v>0</v>
      </c>
      <c r="C35">
        <v>1</v>
      </c>
      <c r="D35">
        <v>23</v>
      </c>
      <c r="E35">
        <v>13</v>
      </c>
      <c r="F35">
        <f>D35-E35</f>
        <v>10</v>
      </c>
      <c r="G35" s="95">
        <f>E35/D35*100</f>
        <v>56.521739130434781</v>
      </c>
      <c r="P35" s="94" t="s">
        <v>127</v>
      </c>
      <c r="Q35" s="140">
        <f>B35*1591</f>
        <v>0</v>
      </c>
      <c r="R35" s="140">
        <v>1</v>
      </c>
      <c r="S35" s="140">
        <v>23</v>
      </c>
      <c r="T35" s="140">
        <v>13</v>
      </c>
      <c r="U35" s="140">
        <f>S35-T35</f>
        <v>10</v>
      </c>
      <c r="V35" s="95">
        <f>T35/S35*100</f>
        <v>56.521739130434781</v>
      </c>
    </row>
    <row r="36" spans="1:22" x14ac:dyDescent="0.2">
      <c r="A36" s="94" t="s">
        <v>127</v>
      </c>
      <c r="B36">
        <v>0</v>
      </c>
      <c r="C36">
        <v>2</v>
      </c>
      <c r="D36">
        <v>34</v>
      </c>
      <c r="E36">
        <v>12</v>
      </c>
      <c r="F36">
        <f>D36-E36</f>
        <v>22</v>
      </c>
      <c r="G36" s="95">
        <f>E36/D36*100</f>
        <v>35.294117647058826</v>
      </c>
      <c r="P36" s="94" t="s">
        <v>127</v>
      </c>
      <c r="Q36" s="140">
        <f t="shared" ref="Q36:Q64" si="5">B36*1591</f>
        <v>0</v>
      </c>
      <c r="R36" s="140">
        <v>2</v>
      </c>
      <c r="S36" s="140">
        <v>34</v>
      </c>
      <c r="T36" s="140">
        <v>12</v>
      </c>
      <c r="U36" s="140">
        <f>S36-T36</f>
        <v>22</v>
      </c>
      <c r="V36" s="95">
        <f>T36/S36*100</f>
        <v>35.294117647058826</v>
      </c>
    </row>
    <row r="37" spans="1:22" x14ac:dyDescent="0.2">
      <c r="A37" s="94" t="s">
        <v>127</v>
      </c>
      <c r="B37">
        <v>0</v>
      </c>
      <c r="C37">
        <v>3</v>
      </c>
      <c r="D37">
        <v>18</v>
      </c>
      <c r="E37">
        <v>7</v>
      </c>
      <c r="F37">
        <f t="shared" ref="F37:F64" si="6">D37-E37</f>
        <v>11</v>
      </c>
      <c r="G37" s="95">
        <f t="shared" ref="G37:G64" si="7">E37/D37*100</f>
        <v>38.888888888888893</v>
      </c>
      <c r="P37" s="94" t="s">
        <v>127</v>
      </c>
      <c r="Q37" s="140">
        <f t="shared" si="5"/>
        <v>0</v>
      </c>
      <c r="R37" s="140">
        <v>3</v>
      </c>
      <c r="S37" s="140">
        <v>18</v>
      </c>
      <c r="T37" s="140">
        <v>7</v>
      </c>
      <c r="U37" s="140">
        <f t="shared" ref="U37:U64" si="8">S37-T37</f>
        <v>11</v>
      </c>
      <c r="V37" s="95">
        <f t="shared" ref="V37:V64" si="9">T37/S37*100</f>
        <v>38.888888888888893</v>
      </c>
    </row>
    <row r="38" spans="1:22" x14ac:dyDescent="0.2">
      <c r="A38" s="94" t="s">
        <v>127</v>
      </c>
      <c r="B38">
        <v>0</v>
      </c>
      <c r="C38">
        <v>4</v>
      </c>
      <c r="D38">
        <v>22</v>
      </c>
      <c r="E38">
        <v>4</v>
      </c>
      <c r="F38">
        <f t="shared" si="6"/>
        <v>18</v>
      </c>
      <c r="G38" s="95">
        <f t="shared" si="7"/>
        <v>18.181818181818183</v>
      </c>
      <c r="P38" s="94" t="s">
        <v>127</v>
      </c>
      <c r="Q38" s="140">
        <f t="shared" si="5"/>
        <v>0</v>
      </c>
      <c r="R38" s="140">
        <v>4</v>
      </c>
      <c r="S38" s="140">
        <v>22</v>
      </c>
      <c r="T38" s="140">
        <v>4</v>
      </c>
      <c r="U38" s="140">
        <f t="shared" si="8"/>
        <v>18</v>
      </c>
      <c r="V38" s="95">
        <f t="shared" si="9"/>
        <v>18.181818181818183</v>
      </c>
    </row>
    <row r="39" spans="1:22" x14ac:dyDescent="0.2">
      <c r="A39" s="94" t="s">
        <v>127</v>
      </c>
      <c r="B39">
        <v>0</v>
      </c>
      <c r="C39">
        <v>5</v>
      </c>
      <c r="D39">
        <v>22</v>
      </c>
      <c r="E39">
        <v>4</v>
      </c>
      <c r="F39">
        <f t="shared" si="6"/>
        <v>18</v>
      </c>
      <c r="G39" s="95">
        <f t="shared" si="7"/>
        <v>18.181818181818183</v>
      </c>
      <c r="P39" s="94" t="s">
        <v>127</v>
      </c>
      <c r="Q39" s="140">
        <f t="shared" si="5"/>
        <v>0</v>
      </c>
      <c r="R39" s="140">
        <v>5</v>
      </c>
      <c r="S39" s="140">
        <v>22</v>
      </c>
      <c r="T39" s="140">
        <v>4</v>
      </c>
      <c r="U39" s="140">
        <f t="shared" si="8"/>
        <v>18</v>
      </c>
      <c r="V39" s="95">
        <f t="shared" si="9"/>
        <v>18.181818181818183</v>
      </c>
    </row>
    <row r="40" spans="1:22" x14ac:dyDescent="0.2">
      <c r="A40" s="94" t="s">
        <v>127</v>
      </c>
      <c r="B40">
        <v>0</v>
      </c>
      <c r="C40">
        <v>6</v>
      </c>
      <c r="D40">
        <v>20</v>
      </c>
      <c r="E40">
        <v>4</v>
      </c>
      <c r="F40">
        <f t="shared" si="6"/>
        <v>16</v>
      </c>
      <c r="G40" s="95">
        <f t="shared" si="7"/>
        <v>20</v>
      </c>
      <c r="P40" s="94" t="s">
        <v>127</v>
      </c>
      <c r="Q40" s="140">
        <f t="shared" si="5"/>
        <v>0</v>
      </c>
      <c r="R40" s="140">
        <v>6</v>
      </c>
      <c r="S40" s="140">
        <v>20</v>
      </c>
      <c r="T40" s="140">
        <v>4</v>
      </c>
      <c r="U40" s="140">
        <f t="shared" si="8"/>
        <v>16</v>
      </c>
      <c r="V40" s="95">
        <f t="shared" si="9"/>
        <v>20</v>
      </c>
    </row>
    <row r="41" spans="1:22" x14ac:dyDescent="0.2">
      <c r="A41" s="94" t="s">
        <v>127</v>
      </c>
      <c r="B41">
        <v>76</v>
      </c>
      <c r="C41">
        <v>1</v>
      </c>
      <c r="D41">
        <v>23</v>
      </c>
      <c r="E41">
        <v>7</v>
      </c>
      <c r="F41">
        <f t="shared" si="6"/>
        <v>16</v>
      </c>
      <c r="G41" s="95">
        <f t="shared" si="7"/>
        <v>30.434782608695656</v>
      </c>
      <c r="P41" s="94" t="s">
        <v>127</v>
      </c>
      <c r="Q41" s="140">
        <f t="shared" si="5"/>
        <v>120916</v>
      </c>
      <c r="R41" s="140">
        <v>1</v>
      </c>
      <c r="S41" s="140">
        <v>23</v>
      </c>
      <c r="T41" s="140">
        <v>7</v>
      </c>
      <c r="U41" s="140">
        <f t="shared" si="8"/>
        <v>16</v>
      </c>
      <c r="V41" s="95">
        <f t="shared" si="9"/>
        <v>30.434782608695656</v>
      </c>
    </row>
    <row r="42" spans="1:22" x14ac:dyDescent="0.2">
      <c r="A42" s="94" t="s">
        <v>127</v>
      </c>
      <c r="B42">
        <v>76</v>
      </c>
      <c r="C42">
        <v>2</v>
      </c>
      <c r="D42">
        <v>22</v>
      </c>
      <c r="E42">
        <v>11</v>
      </c>
      <c r="F42">
        <f t="shared" si="6"/>
        <v>11</v>
      </c>
      <c r="G42" s="95">
        <f t="shared" si="7"/>
        <v>50</v>
      </c>
      <c r="P42" s="94" t="s">
        <v>127</v>
      </c>
      <c r="Q42" s="140">
        <f t="shared" si="5"/>
        <v>120916</v>
      </c>
      <c r="R42" s="140">
        <v>2</v>
      </c>
      <c r="S42" s="140">
        <v>22</v>
      </c>
      <c r="T42" s="140">
        <v>11</v>
      </c>
      <c r="U42" s="140">
        <f t="shared" si="8"/>
        <v>11</v>
      </c>
      <c r="V42" s="95">
        <f t="shared" si="9"/>
        <v>50</v>
      </c>
    </row>
    <row r="43" spans="1:22" x14ac:dyDescent="0.2">
      <c r="A43" s="94" t="s">
        <v>127</v>
      </c>
      <c r="B43">
        <v>76</v>
      </c>
      <c r="C43">
        <v>3</v>
      </c>
      <c r="D43">
        <v>23</v>
      </c>
      <c r="E43">
        <v>7</v>
      </c>
      <c r="F43">
        <f t="shared" si="6"/>
        <v>16</v>
      </c>
      <c r="G43" s="95">
        <f t="shared" si="7"/>
        <v>30.434782608695656</v>
      </c>
      <c r="P43" s="94" t="s">
        <v>127</v>
      </c>
      <c r="Q43" s="140">
        <f t="shared" si="5"/>
        <v>120916</v>
      </c>
      <c r="R43" s="140">
        <v>3</v>
      </c>
      <c r="S43" s="140">
        <v>23</v>
      </c>
      <c r="T43" s="140">
        <v>7</v>
      </c>
      <c r="U43" s="140">
        <f t="shared" si="8"/>
        <v>16</v>
      </c>
      <c r="V43" s="95">
        <f t="shared" si="9"/>
        <v>30.434782608695656</v>
      </c>
    </row>
    <row r="44" spans="1:22" x14ac:dyDescent="0.2">
      <c r="A44" s="94" t="s">
        <v>127</v>
      </c>
      <c r="B44">
        <v>78</v>
      </c>
      <c r="C44">
        <v>1</v>
      </c>
      <c r="D44">
        <v>19</v>
      </c>
      <c r="E44">
        <v>4</v>
      </c>
      <c r="F44">
        <f t="shared" si="6"/>
        <v>15</v>
      </c>
      <c r="G44" s="95">
        <f t="shared" si="7"/>
        <v>21.052631578947366</v>
      </c>
      <c r="P44" s="94" t="s">
        <v>127</v>
      </c>
      <c r="Q44" s="140">
        <f t="shared" si="5"/>
        <v>124098</v>
      </c>
      <c r="R44" s="140">
        <v>1</v>
      </c>
      <c r="S44" s="140">
        <v>19</v>
      </c>
      <c r="T44" s="140">
        <v>4</v>
      </c>
      <c r="U44" s="140">
        <f t="shared" si="8"/>
        <v>15</v>
      </c>
      <c r="V44" s="95">
        <f t="shared" si="9"/>
        <v>21.052631578947366</v>
      </c>
    </row>
    <row r="45" spans="1:22" x14ac:dyDescent="0.2">
      <c r="A45" s="94" t="s">
        <v>127</v>
      </c>
      <c r="B45">
        <v>78</v>
      </c>
      <c r="C45">
        <v>2</v>
      </c>
      <c r="D45">
        <v>16</v>
      </c>
      <c r="E45">
        <v>4</v>
      </c>
      <c r="F45">
        <f t="shared" si="6"/>
        <v>12</v>
      </c>
      <c r="G45" s="95">
        <f t="shared" si="7"/>
        <v>25</v>
      </c>
      <c r="P45" s="94" t="s">
        <v>127</v>
      </c>
      <c r="Q45" s="140">
        <f t="shared" si="5"/>
        <v>124098</v>
      </c>
      <c r="R45" s="140">
        <v>2</v>
      </c>
      <c r="S45" s="140">
        <v>16</v>
      </c>
      <c r="T45" s="140">
        <v>4</v>
      </c>
      <c r="U45" s="140">
        <f t="shared" si="8"/>
        <v>12</v>
      </c>
      <c r="V45" s="95">
        <f t="shared" si="9"/>
        <v>25</v>
      </c>
    </row>
    <row r="46" spans="1:22" x14ac:dyDescent="0.2">
      <c r="A46" s="94" t="s">
        <v>127</v>
      </c>
      <c r="B46">
        <v>78</v>
      </c>
      <c r="C46">
        <v>3</v>
      </c>
      <c r="D46">
        <v>23</v>
      </c>
      <c r="E46">
        <v>7</v>
      </c>
      <c r="F46">
        <f t="shared" si="6"/>
        <v>16</v>
      </c>
      <c r="G46" s="95">
        <f t="shared" si="7"/>
        <v>30.434782608695656</v>
      </c>
      <c r="P46" s="94" t="s">
        <v>127</v>
      </c>
      <c r="Q46" s="140">
        <f t="shared" si="5"/>
        <v>124098</v>
      </c>
      <c r="R46" s="140">
        <v>3</v>
      </c>
      <c r="S46" s="140">
        <v>23</v>
      </c>
      <c r="T46" s="140">
        <v>7</v>
      </c>
      <c r="U46" s="140">
        <f t="shared" si="8"/>
        <v>16</v>
      </c>
      <c r="V46" s="95">
        <f t="shared" si="9"/>
        <v>30.434782608695656</v>
      </c>
    </row>
    <row r="47" spans="1:22" x14ac:dyDescent="0.2">
      <c r="A47" s="94" t="s">
        <v>127</v>
      </c>
      <c r="B47">
        <v>227</v>
      </c>
      <c r="C47">
        <v>1</v>
      </c>
      <c r="D47">
        <v>10</v>
      </c>
      <c r="E47">
        <v>4</v>
      </c>
      <c r="F47">
        <f t="shared" si="6"/>
        <v>6</v>
      </c>
      <c r="G47" s="95">
        <f t="shared" si="7"/>
        <v>40</v>
      </c>
      <c r="P47" s="94" t="s">
        <v>127</v>
      </c>
      <c r="Q47" s="140">
        <f t="shared" si="5"/>
        <v>361157</v>
      </c>
      <c r="R47" s="140">
        <v>1</v>
      </c>
      <c r="S47" s="140">
        <v>10</v>
      </c>
      <c r="T47" s="140">
        <v>4</v>
      </c>
      <c r="U47" s="140">
        <f t="shared" si="8"/>
        <v>6</v>
      </c>
      <c r="V47" s="95">
        <f t="shared" si="9"/>
        <v>40</v>
      </c>
    </row>
    <row r="48" spans="1:22" x14ac:dyDescent="0.2">
      <c r="A48" s="94" t="s">
        <v>127</v>
      </c>
      <c r="B48">
        <v>227</v>
      </c>
      <c r="C48">
        <v>2</v>
      </c>
      <c r="D48">
        <v>26</v>
      </c>
      <c r="E48">
        <v>11</v>
      </c>
      <c r="F48">
        <f t="shared" si="6"/>
        <v>15</v>
      </c>
      <c r="G48" s="95">
        <f t="shared" si="7"/>
        <v>42.307692307692307</v>
      </c>
      <c r="P48" s="94" t="s">
        <v>127</v>
      </c>
      <c r="Q48" s="140">
        <f t="shared" si="5"/>
        <v>361157</v>
      </c>
      <c r="R48" s="140">
        <v>2</v>
      </c>
      <c r="S48" s="140">
        <v>26</v>
      </c>
      <c r="T48" s="140">
        <v>11</v>
      </c>
      <c r="U48" s="140">
        <f t="shared" si="8"/>
        <v>15</v>
      </c>
      <c r="V48" s="95">
        <f t="shared" si="9"/>
        <v>42.307692307692307</v>
      </c>
    </row>
    <row r="49" spans="1:22" x14ac:dyDescent="0.2">
      <c r="A49" s="94" t="s">
        <v>127</v>
      </c>
      <c r="B49">
        <v>227</v>
      </c>
      <c r="C49">
        <v>3</v>
      </c>
      <c r="D49">
        <v>26</v>
      </c>
      <c r="E49">
        <v>10</v>
      </c>
      <c r="F49">
        <f t="shared" si="6"/>
        <v>16</v>
      </c>
      <c r="G49" s="95">
        <f t="shared" si="7"/>
        <v>38.461538461538467</v>
      </c>
      <c r="P49" s="94" t="s">
        <v>127</v>
      </c>
      <c r="Q49" s="140">
        <f t="shared" si="5"/>
        <v>361157</v>
      </c>
      <c r="R49" s="140">
        <v>3</v>
      </c>
      <c r="S49" s="140">
        <v>26</v>
      </c>
      <c r="T49" s="140">
        <v>10</v>
      </c>
      <c r="U49" s="140">
        <f t="shared" si="8"/>
        <v>16</v>
      </c>
      <c r="V49" s="95">
        <f t="shared" si="9"/>
        <v>38.461538461538467</v>
      </c>
    </row>
    <row r="50" spans="1:22" x14ac:dyDescent="0.2">
      <c r="A50" s="94" t="s">
        <v>127</v>
      </c>
      <c r="B50">
        <v>235</v>
      </c>
      <c r="C50">
        <v>1</v>
      </c>
      <c r="D50">
        <v>20</v>
      </c>
      <c r="E50">
        <v>7</v>
      </c>
      <c r="F50">
        <f t="shared" si="6"/>
        <v>13</v>
      </c>
      <c r="G50" s="95">
        <f t="shared" si="7"/>
        <v>35</v>
      </c>
      <c r="P50" s="94" t="s">
        <v>127</v>
      </c>
      <c r="Q50" s="140">
        <f t="shared" si="5"/>
        <v>373885</v>
      </c>
      <c r="R50" s="140">
        <v>1</v>
      </c>
      <c r="S50" s="140">
        <v>20</v>
      </c>
      <c r="T50" s="140">
        <v>7</v>
      </c>
      <c r="U50" s="140">
        <f t="shared" si="8"/>
        <v>13</v>
      </c>
      <c r="V50" s="95">
        <f t="shared" si="9"/>
        <v>35</v>
      </c>
    </row>
    <row r="51" spans="1:22" x14ac:dyDescent="0.2">
      <c r="A51" s="94" t="s">
        <v>127</v>
      </c>
      <c r="B51">
        <v>235</v>
      </c>
      <c r="C51">
        <v>2</v>
      </c>
      <c r="D51">
        <v>22</v>
      </c>
      <c r="E51">
        <v>7</v>
      </c>
      <c r="F51">
        <f t="shared" si="6"/>
        <v>15</v>
      </c>
      <c r="G51" s="95">
        <f t="shared" si="7"/>
        <v>31.818181818181817</v>
      </c>
      <c r="P51" s="94" t="s">
        <v>127</v>
      </c>
      <c r="Q51" s="140">
        <f t="shared" si="5"/>
        <v>373885</v>
      </c>
      <c r="R51" s="140">
        <v>2</v>
      </c>
      <c r="S51" s="140">
        <v>22</v>
      </c>
      <c r="T51" s="140">
        <v>7</v>
      </c>
      <c r="U51" s="140">
        <f t="shared" si="8"/>
        <v>15</v>
      </c>
      <c r="V51" s="95">
        <f t="shared" si="9"/>
        <v>31.818181818181817</v>
      </c>
    </row>
    <row r="52" spans="1:22" x14ac:dyDescent="0.2">
      <c r="A52" s="94" t="s">
        <v>127</v>
      </c>
      <c r="B52">
        <v>235</v>
      </c>
      <c r="C52">
        <v>3</v>
      </c>
      <c r="D52">
        <v>28</v>
      </c>
      <c r="E52">
        <v>7</v>
      </c>
      <c r="F52">
        <f t="shared" si="6"/>
        <v>21</v>
      </c>
      <c r="G52" s="95">
        <f t="shared" si="7"/>
        <v>25</v>
      </c>
      <c r="P52" s="94" t="s">
        <v>127</v>
      </c>
      <c r="Q52" s="140">
        <f t="shared" si="5"/>
        <v>373885</v>
      </c>
      <c r="R52" s="140">
        <v>3</v>
      </c>
      <c r="S52" s="140">
        <v>28</v>
      </c>
      <c r="T52" s="140">
        <v>7</v>
      </c>
      <c r="U52" s="140">
        <f t="shared" si="8"/>
        <v>21</v>
      </c>
      <c r="V52" s="95">
        <f t="shared" si="9"/>
        <v>25</v>
      </c>
    </row>
    <row r="53" spans="1:22" x14ac:dyDescent="0.2">
      <c r="A53" s="94" t="s">
        <v>127</v>
      </c>
      <c r="B53">
        <v>680</v>
      </c>
      <c r="C53">
        <v>1</v>
      </c>
      <c r="D53">
        <v>37</v>
      </c>
      <c r="E53">
        <v>20</v>
      </c>
      <c r="F53">
        <f t="shared" si="6"/>
        <v>17</v>
      </c>
      <c r="G53" s="95">
        <f t="shared" si="7"/>
        <v>54.054054054054056</v>
      </c>
      <c r="P53" s="94" t="s">
        <v>127</v>
      </c>
      <c r="Q53" s="140">
        <f t="shared" si="5"/>
        <v>1081880</v>
      </c>
      <c r="R53" s="140">
        <v>1</v>
      </c>
      <c r="S53" s="140">
        <v>37</v>
      </c>
      <c r="T53" s="140">
        <v>20</v>
      </c>
      <c r="U53" s="140">
        <f t="shared" si="8"/>
        <v>17</v>
      </c>
      <c r="V53" s="95">
        <f t="shared" si="9"/>
        <v>54.054054054054056</v>
      </c>
    </row>
    <row r="54" spans="1:22" x14ac:dyDescent="0.2">
      <c r="A54" s="94" t="s">
        <v>127</v>
      </c>
      <c r="B54">
        <v>680</v>
      </c>
      <c r="C54">
        <v>2</v>
      </c>
      <c r="D54">
        <v>28</v>
      </c>
      <c r="E54">
        <v>13</v>
      </c>
      <c r="F54">
        <f t="shared" si="6"/>
        <v>15</v>
      </c>
      <c r="G54" s="95">
        <f t="shared" si="7"/>
        <v>46.428571428571431</v>
      </c>
      <c r="P54" s="94" t="s">
        <v>127</v>
      </c>
      <c r="Q54" s="140">
        <f t="shared" si="5"/>
        <v>1081880</v>
      </c>
      <c r="R54" s="140">
        <v>2</v>
      </c>
      <c r="S54" s="140">
        <v>28</v>
      </c>
      <c r="T54" s="140">
        <v>13</v>
      </c>
      <c r="U54" s="140">
        <f t="shared" si="8"/>
        <v>15</v>
      </c>
      <c r="V54" s="95">
        <f t="shared" si="9"/>
        <v>46.428571428571431</v>
      </c>
    </row>
    <row r="55" spans="1:22" x14ac:dyDescent="0.2">
      <c r="A55" s="94" t="s">
        <v>127</v>
      </c>
      <c r="B55">
        <v>680</v>
      </c>
      <c r="C55">
        <v>3</v>
      </c>
      <c r="D55">
        <v>12</v>
      </c>
      <c r="E55">
        <v>3</v>
      </c>
      <c r="F55">
        <f t="shared" si="6"/>
        <v>9</v>
      </c>
      <c r="G55" s="95">
        <f t="shared" si="7"/>
        <v>25</v>
      </c>
      <c r="P55" s="94" t="s">
        <v>127</v>
      </c>
      <c r="Q55" s="140">
        <f t="shared" si="5"/>
        <v>1081880</v>
      </c>
      <c r="R55" s="140">
        <v>3</v>
      </c>
      <c r="S55" s="140">
        <v>12</v>
      </c>
      <c r="T55" s="140">
        <v>3</v>
      </c>
      <c r="U55" s="140">
        <f t="shared" si="8"/>
        <v>9</v>
      </c>
      <c r="V55" s="95">
        <f t="shared" si="9"/>
        <v>25</v>
      </c>
    </row>
    <row r="56" spans="1:22" x14ac:dyDescent="0.2">
      <c r="A56" s="94" t="s">
        <v>127</v>
      </c>
      <c r="B56">
        <v>704</v>
      </c>
      <c r="C56">
        <v>1</v>
      </c>
      <c r="D56">
        <v>18</v>
      </c>
      <c r="E56">
        <v>8</v>
      </c>
      <c r="F56">
        <f t="shared" si="6"/>
        <v>10</v>
      </c>
      <c r="G56" s="95">
        <f t="shared" si="7"/>
        <v>44.444444444444443</v>
      </c>
      <c r="P56" s="94" t="s">
        <v>127</v>
      </c>
      <c r="Q56" s="140">
        <f t="shared" si="5"/>
        <v>1120064</v>
      </c>
      <c r="R56" s="140">
        <v>1</v>
      </c>
      <c r="S56" s="140">
        <v>18</v>
      </c>
      <c r="T56" s="140">
        <v>8</v>
      </c>
      <c r="U56" s="140">
        <f t="shared" si="8"/>
        <v>10</v>
      </c>
      <c r="V56" s="95">
        <f t="shared" si="9"/>
        <v>44.444444444444443</v>
      </c>
    </row>
    <row r="57" spans="1:22" x14ac:dyDescent="0.2">
      <c r="A57" s="94" t="s">
        <v>127</v>
      </c>
      <c r="B57">
        <v>704</v>
      </c>
      <c r="C57">
        <v>2</v>
      </c>
      <c r="D57">
        <v>19</v>
      </c>
      <c r="E57">
        <v>7</v>
      </c>
      <c r="F57">
        <f t="shared" si="6"/>
        <v>12</v>
      </c>
      <c r="G57" s="95">
        <f t="shared" si="7"/>
        <v>36.84210526315789</v>
      </c>
      <c r="P57" s="94" t="s">
        <v>127</v>
      </c>
      <c r="Q57" s="140">
        <f t="shared" si="5"/>
        <v>1120064</v>
      </c>
      <c r="R57" s="140">
        <v>2</v>
      </c>
      <c r="S57" s="140">
        <v>19</v>
      </c>
      <c r="T57" s="140">
        <v>7</v>
      </c>
      <c r="U57" s="140">
        <f t="shared" si="8"/>
        <v>12</v>
      </c>
      <c r="V57" s="95">
        <f t="shared" si="9"/>
        <v>36.84210526315789</v>
      </c>
    </row>
    <row r="58" spans="1:22" x14ac:dyDescent="0.2">
      <c r="A58" s="94" t="s">
        <v>127</v>
      </c>
      <c r="B58">
        <v>704</v>
      </c>
      <c r="C58">
        <v>3</v>
      </c>
      <c r="D58">
        <v>35</v>
      </c>
      <c r="E58">
        <v>14</v>
      </c>
      <c r="F58">
        <f t="shared" si="6"/>
        <v>21</v>
      </c>
      <c r="G58" s="95">
        <f t="shared" si="7"/>
        <v>40</v>
      </c>
      <c r="P58" s="94" t="s">
        <v>127</v>
      </c>
      <c r="Q58" s="140">
        <f t="shared" si="5"/>
        <v>1120064</v>
      </c>
      <c r="R58" s="140">
        <v>3</v>
      </c>
      <c r="S58" s="140">
        <v>35</v>
      </c>
      <c r="T58" s="140">
        <v>14</v>
      </c>
      <c r="U58" s="140">
        <f t="shared" si="8"/>
        <v>21</v>
      </c>
      <c r="V58" s="95">
        <f t="shared" si="9"/>
        <v>40</v>
      </c>
    </row>
    <row r="59" spans="1:22" x14ac:dyDescent="0.2">
      <c r="A59" s="94" t="s">
        <v>127</v>
      </c>
      <c r="B59">
        <v>2049</v>
      </c>
      <c r="C59">
        <v>1</v>
      </c>
      <c r="D59">
        <v>16</v>
      </c>
      <c r="E59">
        <v>6</v>
      </c>
      <c r="F59">
        <f t="shared" si="6"/>
        <v>10</v>
      </c>
      <c r="G59" s="95">
        <f t="shared" si="7"/>
        <v>37.5</v>
      </c>
      <c r="P59" s="94" t="s">
        <v>127</v>
      </c>
      <c r="Q59" s="140">
        <f t="shared" si="5"/>
        <v>3259959</v>
      </c>
      <c r="R59" s="140">
        <v>1</v>
      </c>
      <c r="S59" s="140">
        <v>16</v>
      </c>
      <c r="T59" s="140">
        <v>6</v>
      </c>
      <c r="U59" s="140">
        <f t="shared" si="8"/>
        <v>10</v>
      </c>
      <c r="V59" s="95">
        <f t="shared" si="9"/>
        <v>37.5</v>
      </c>
    </row>
    <row r="60" spans="1:22" x14ac:dyDescent="0.2">
      <c r="A60" s="94" t="s">
        <v>127</v>
      </c>
      <c r="B60">
        <v>2049</v>
      </c>
      <c r="C60">
        <v>2</v>
      </c>
      <c r="D60">
        <v>18</v>
      </c>
      <c r="E60">
        <v>8</v>
      </c>
      <c r="F60">
        <f t="shared" si="6"/>
        <v>10</v>
      </c>
      <c r="G60" s="95">
        <f t="shared" si="7"/>
        <v>44.444444444444443</v>
      </c>
      <c r="P60" s="94" t="s">
        <v>127</v>
      </c>
      <c r="Q60" s="140">
        <f t="shared" si="5"/>
        <v>3259959</v>
      </c>
      <c r="R60" s="140">
        <v>2</v>
      </c>
      <c r="S60" s="140">
        <v>18</v>
      </c>
      <c r="T60" s="140">
        <v>8</v>
      </c>
      <c r="U60" s="140">
        <f t="shared" si="8"/>
        <v>10</v>
      </c>
      <c r="V60" s="95">
        <f t="shared" si="9"/>
        <v>44.444444444444443</v>
      </c>
    </row>
    <row r="61" spans="1:22" x14ac:dyDescent="0.2">
      <c r="A61" s="94" t="s">
        <v>127</v>
      </c>
      <c r="B61">
        <v>2049</v>
      </c>
      <c r="C61">
        <v>3</v>
      </c>
      <c r="D61">
        <v>16</v>
      </c>
      <c r="E61">
        <v>8</v>
      </c>
      <c r="F61">
        <f t="shared" si="6"/>
        <v>8</v>
      </c>
      <c r="G61" s="95">
        <f t="shared" si="7"/>
        <v>50</v>
      </c>
      <c r="P61" s="94" t="s">
        <v>127</v>
      </c>
      <c r="Q61" s="140">
        <f t="shared" si="5"/>
        <v>3259959</v>
      </c>
      <c r="R61" s="140">
        <v>3</v>
      </c>
      <c r="S61" s="140">
        <v>16</v>
      </c>
      <c r="T61" s="140">
        <v>8</v>
      </c>
      <c r="U61" s="140">
        <f t="shared" si="8"/>
        <v>8</v>
      </c>
      <c r="V61" s="95">
        <f t="shared" si="9"/>
        <v>50</v>
      </c>
    </row>
    <row r="62" spans="1:22" x14ac:dyDescent="0.2">
      <c r="A62" s="94" t="s">
        <v>127</v>
      </c>
      <c r="B62">
        <v>2111</v>
      </c>
      <c r="C62">
        <v>1</v>
      </c>
      <c r="D62">
        <v>21</v>
      </c>
      <c r="E62">
        <v>12</v>
      </c>
      <c r="F62">
        <f t="shared" si="6"/>
        <v>9</v>
      </c>
      <c r="G62" s="95">
        <f t="shared" si="7"/>
        <v>57.142857142857139</v>
      </c>
      <c r="P62" s="94" t="s">
        <v>127</v>
      </c>
      <c r="Q62" s="140">
        <f t="shared" si="5"/>
        <v>3358601</v>
      </c>
      <c r="R62" s="140">
        <v>1</v>
      </c>
      <c r="S62" s="140">
        <v>21</v>
      </c>
      <c r="T62" s="140">
        <v>12</v>
      </c>
      <c r="U62" s="140">
        <f t="shared" si="8"/>
        <v>9</v>
      </c>
      <c r="V62" s="95">
        <f t="shared" si="9"/>
        <v>57.142857142857139</v>
      </c>
    </row>
    <row r="63" spans="1:22" x14ac:dyDescent="0.2">
      <c r="A63" s="94" t="s">
        <v>127</v>
      </c>
      <c r="B63">
        <v>2111</v>
      </c>
      <c r="C63">
        <v>2</v>
      </c>
      <c r="D63">
        <v>18</v>
      </c>
      <c r="E63">
        <v>8</v>
      </c>
      <c r="F63">
        <f t="shared" si="6"/>
        <v>10</v>
      </c>
      <c r="G63" s="95">
        <f t="shared" si="7"/>
        <v>44.444444444444443</v>
      </c>
      <c r="P63" s="94" t="s">
        <v>127</v>
      </c>
      <c r="Q63" s="140">
        <f t="shared" si="5"/>
        <v>3358601</v>
      </c>
      <c r="R63" s="140">
        <v>2</v>
      </c>
      <c r="S63" s="140">
        <v>18</v>
      </c>
      <c r="T63" s="140">
        <v>8</v>
      </c>
      <c r="U63" s="140">
        <f t="shared" si="8"/>
        <v>10</v>
      </c>
      <c r="V63" s="95">
        <f t="shared" si="9"/>
        <v>44.444444444444443</v>
      </c>
    </row>
    <row r="64" spans="1:22" x14ac:dyDescent="0.2">
      <c r="A64" s="94" t="s">
        <v>127</v>
      </c>
      <c r="B64">
        <v>2111</v>
      </c>
      <c r="C64">
        <v>3</v>
      </c>
      <c r="D64">
        <v>21</v>
      </c>
      <c r="E64">
        <v>9</v>
      </c>
      <c r="F64">
        <f t="shared" si="6"/>
        <v>12</v>
      </c>
      <c r="G64" s="95">
        <f t="shared" si="7"/>
        <v>42.857142857142854</v>
      </c>
      <c r="P64" s="94" t="s">
        <v>127</v>
      </c>
      <c r="Q64" s="140">
        <f t="shared" si="5"/>
        <v>3358601</v>
      </c>
      <c r="R64" s="140">
        <v>3</v>
      </c>
      <c r="S64" s="140">
        <v>21</v>
      </c>
      <c r="T64" s="140">
        <v>9</v>
      </c>
      <c r="U64" s="140">
        <f t="shared" si="8"/>
        <v>12</v>
      </c>
      <c r="V64" s="95">
        <f t="shared" si="9"/>
        <v>42.857142857142854</v>
      </c>
    </row>
    <row r="65" spans="1:22" x14ac:dyDescent="0.2">
      <c r="A65" s="94" t="s">
        <v>128</v>
      </c>
      <c r="B65">
        <v>0</v>
      </c>
      <c r="C65">
        <v>1</v>
      </c>
      <c r="D65">
        <v>23</v>
      </c>
      <c r="E65">
        <v>5</v>
      </c>
      <c r="F65">
        <f>D65-E65</f>
        <v>18</v>
      </c>
      <c r="G65" s="95">
        <f>E65/D65*100</f>
        <v>21.739130434782609</v>
      </c>
      <c r="P65" s="94" t="s">
        <v>128</v>
      </c>
      <c r="Q65" s="140">
        <f>B65*863</f>
        <v>0</v>
      </c>
      <c r="R65" s="140">
        <v>1</v>
      </c>
      <c r="S65" s="140">
        <v>23</v>
      </c>
      <c r="T65" s="140">
        <v>5</v>
      </c>
      <c r="U65" s="140">
        <f>S65-T65</f>
        <v>18</v>
      </c>
      <c r="V65" s="95">
        <f>T65/S65*100</f>
        <v>21.739130434782609</v>
      </c>
    </row>
    <row r="66" spans="1:22" x14ac:dyDescent="0.2">
      <c r="A66" s="94" t="s">
        <v>128</v>
      </c>
      <c r="B66">
        <v>0</v>
      </c>
      <c r="C66">
        <v>2</v>
      </c>
      <c r="D66">
        <v>18</v>
      </c>
      <c r="E66">
        <v>4</v>
      </c>
      <c r="F66">
        <f t="shared" ref="F66:F97" si="10">D66-E66</f>
        <v>14</v>
      </c>
      <c r="G66" s="95">
        <f t="shared" ref="G66:G97" si="11">E66/D66*100</f>
        <v>22.222222222222221</v>
      </c>
      <c r="P66" s="94" t="s">
        <v>128</v>
      </c>
      <c r="Q66" s="140">
        <f t="shared" ref="Q66:Q97" si="12">B66*863</f>
        <v>0</v>
      </c>
      <c r="R66" s="140">
        <v>2</v>
      </c>
      <c r="S66" s="140">
        <v>18</v>
      </c>
      <c r="T66" s="140">
        <v>4</v>
      </c>
      <c r="U66" s="140">
        <f t="shared" ref="U66:U97" si="13">S66-T66</f>
        <v>14</v>
      </c>
      <c r="V66" s="95">
        <f t="shared" ref="V66:V97" si="14">T66/S66*100</f>
        <v>22.222222222222221</v>
      </c>
    </row>
    <row r="67" spans="1:22" x14ac:dyDescent="0.2">
      <c r="A67" s="94" t="s">
        <v>128</v>
      </c>
      <c r="B67">
        <v>0</v>
      </c>
      <c r="C67">
        <v>3</v>
      </c>
      <c r="D67">
        <v>30</v>
      </c>
      <c r="E67">
        <v>9</v>
      </c>
      <c r="F67">
        <f t="shared" si="10"/>
        <v>21</v>
      </c>
      <c r="G67" s="95">
        <f t="shared" si="11"/>
        <v>30</v>
      </c>
      <c r="P67" s="94" t="s">
        <v>128</v>
      </c>
      <c r="Q67" s="140">
        <f t="shared" si="12"/>
        <v>0</v>
      </c>
      <c r="R67" s="140">
        <v>3</v>
      </c>
      <c r="S67" s="140">
        <v>30</v>
      </c>
      <c r="T67" s="140">
        <v>9</v>
      </c>
      <c r="U67" s="140">
        <f t="shared" si="13"/>
        <v>21</v>
      </c>
      <c r="V67" s="95">
        <f t="shared" si="14"/>
        <v>30</v>
      </c>
    </row>
    <row r="68" spans="1:22" x14ac:dyDescent="0.2">
      <c r="A68" s="94" t="s">
        <v>128</v>
      </c>
      <c r="B68">
        <v>0</v>
      </c>
      <c r="C68">
        <v>4</v>
      </c>
      <c r="D68">
        <v>17</v>
      </c>
      <c r="E68">
        <v>1</v>
      </c>
      <c r="F68">
        <f t="shared" si="10"/>
        <v>16</v>
      </c>
      <c r="G68" s="95">
        <f t="shared" si="11"/>
        <v>5.8823529411764701</v>
      </c>
      <c r="P68" s="94" t="s">
        <v>128</v>
      </c>
      <c r="Q68" s="140">
        <f t="shared" si="12"/>
        <v>0</v>
      </c>
      <c r="R68" s="140">
        <v>4</v>
      </c>
      <c r="S68" s="140">
        <v>17</v>
      </c>
      <c r="T68" s="140">
        <v>1</v>
      </c>
      <c r="U68" s="140">
        <f t="shared" si="13"/>
        <v>16</v>
      </c>
      <c r="V68" s="95">
        <f t="shared" si="14"/>
        <v>5.8823529411764701</v>
      </c>
    </row>
    <row r="69" spans="1:22" x14ac:dyDescent="0.2">
      <c r="A69" s="94" t="s">
        <v>128</v>
      </c>
      <c r="B69">
        <v>0</v>
      </c>
      <c r="C69">
        <v>5</v>
      </c>
      <c r="D69">
        <v>27</v>
      </c>
      <c r="E69">
        <v>4</v>
      </c>
      <c r="F69">
        <f t="shared" si="10"/>
        <v>23</v>
      </c>
      <c r="G69" s="95">
        <f t="shared" si="11"/>
        <v>14.814814814814813</v>
      </c>
      <c r="P69" s="94" t="s">
        <v>128</v>
      </c>
      <c r="Q69" s="140">
        <f t="shared" si="12"/>
        <v>0</v>
      </c>
      <c r="R69" s="140">
        <v>5</v>
      </c>
      <c r="S69" s="140">
        <v>27</v>
      </c>
      <c r="T69" s="140">
        <v>4</v>
      </c>
      <c r="U69" s="140">
        <f t="shared" si="13"/>
        <v>23</v>
      </c>
      <c r="V69" s="95">
        <f t="shared" si="14"/>
        <v>14.814814814814813</v>
      </c>
    </row>
    <row r="70" spans="1:22" x14ac:dyDescent="0.2">
      <c r="A70" s="94" t="s">
        <v>128</v>
      </c>
      <c r="B70">
        <v>0</v>
      </c>
      <c r="C70">
        <v>6</v>
      </c>
      <c r="D70">
        <v>18</v>
      </c>
      <c r="E70">
        <v>0</v>
      </c>
      <c r="F70">
        <f t="shared" si="10"/>
        <v>18</v>
      </c>
      <c r="G70" s="95">
        <f t="shared" si="11"/>
        <v>0</v>
      </c>
      <c r="P70" s="94" t="s">
        <v>128</v>
      </c>
      <c r="Q70" s="140">
        <f t="shared" si="12"/>
        <v>0</v>
      </c>
      <c r="R70" s="140">
        <v>6</v>
      </c>
      <c r="S70" s="140">
        <v>18</v>
      </c>
      <c r="T70" s="140">
        <v>0</v>
      </c>
      <c r="U70" s="140">
        <f t="shared" si="13"/>
        <v>18</v>
      </c>
      <c r="V70" s="95">
        <f t="shared" si="14"/>
        <v>0</v>
      </c>
    </row>
    <row r="71" spans="1:22" x14ac:dyDescent="0.2">
      <c r="A71" s="94" t="s">
        <v>128</v>
      </c>
      <c r="B71">
        <v>49</v>
      </c>
      <c r="C71">
        <v>1</v>
      </c>
      <c r="D71">
        <v>39</v>
      </c>
      <c r="E71">
        <v>11</v>
      </c>
      <c r="F71">
        <f t="shared" si="10"/>
        <v>28</v>
      </c>
      <c r="G71" s="95">
        <f t="shared" si="11"/>
        <v>28.205128205128204</v>
      </c>
      <c r="P71" s="94" t="s">
        <v>128</v>
      </c>
      <c r="Q71" s="140">
        <f t="shared" si="12"/>
        <v>42287</v>
      </c>
      <c r="R71" s="140">
        <v>1</v>
      </c>
      <c r="S71" s="140">
        <v>39</v>
      </c>
      <c r="T71" s="140">
        <v>11</v>
      </c>
      <c r="U71" s="140">
        <f t="shared" si="13"/>
        <v>28</v>
      </c>
      <c r="V71" s="95">
        <f t="shared" si="14"/>
        <v>28.205128205128204</v>
      </c>
    </row>
    <row r="72" spans="1:22" x14ac:dyDescent="0.2">
      <c r="A72" s="94" t="s">
        <v>128</v>
      </c>
      <c r="B72">
        <v>49</v>
      </c>
      <c r="C72">
        <v>2</v>
      </c>
      <c r="D72">
        <v>24</v>
      </c>
      <c r="E72">
        <v>8</v>
      </c>
      <c r="F72">
        <f t="shared" si="10"/>
        <v>16</v>
      </c>
      <c r="G72" s="95">
        <f t="shared" si="11"/>
        <v>33.333333333333329</v>
      </c>
      <c r="P72" s="94" t="s">
        <v>128</v>
      </c>
      <c r="Q72" s="140">
        <f t="shared" si="12"/>
        <v>42287</v>
      </c>
      <c r="R72" s="140">
        <v>2</v>
      </c>
      <c r="S72" s="140">
        <v>24</v>
      </c>
      <c r="T72" s="140">
        <v>8</v>
      </c>
      <c r="U72" s="140">
        <f t="shared" si="13"/>
        <v>16</v>
      </c>
      <c r="V72" s="95">
        <f t="shared" si="14"/>
        <v>33.333333333333329</v>
      </c>
    </row>
    <row r="73" spans="1:22" x14ac:dyDescent="0.2">
      <c r="A73" s="94" t="s">
        <v>128</v>
      </c>
      <c r="B73">
        <v>49</v>
      </c>
      <c r="C73">
        <v>3</v>
      </c>
      <c r="D73">
        <v>20</v>
      </c>
      <c r="E73">
        <v>6</v>
      </c>
      <c r="F73">
        <f t="shared" si="10"/>
        <v>14</v>
      </c>
      <c r="G73" s="95">
        <f t="shared" si="11"/>
        <v>30</v>
      </c>
      <c r="P73" s="94" t="s">
        <v>128</v>
      </c>
      <c r="Q73" s="140">
        <f t="shared" si="12"/>
        <v>42287</v>
      </c>
      <c r="R73" s="140">
        <v>3</v>
      </c>
      <c r="S73" s="140">
        <v>20</v>
      </c>
      <c r="T73" s="140">
        <v>6</v>
      </c>
      <c r="U73" s="140">
        <f t="shared" si="13"/>
        <v>14</v>
      </c>
      <c r="V73" s="95">
        <f t="shared" si="14"/>
        <v>30</v>
      </c>
    </row>
    <row r="74" spans="1:22" x14ac:dyDescent="0.2">
      <c r="A74" s="94" t="s">
        <v>128</v>
      </c>
      <c r="B74">
        <v>77</v>
      </c>
      <c r="C74">
        <v>1</v>
      </c>
      <c r="D74">
        <v>28</v>
      </c>
      <c r="E74">
        <v>6</v>
      </c>
      <c r="F74">
        <f t="shared" si="10"/>
        <v>22</v>
      </c>
      <c r="G74" s="95">
        <f t="shared" si="11"/>
        <v>21.428571428571427</v>
      </c>
      <c r="P74" s="94" t="s">
        <v>128</v>
      </c>
      <c r="Q74" s="140">
        <f t="shared" si="12"/>
        <v>66451</v>
      </c>
      <c r="R74" s="140">
        <v>1</v>
      </c>
      <c r="S74" s="140">
        <v>28</v>
      </c>
      <c r="T74" s="140">
        <v>6</v>
      </c>
      <c r="U74" s="140">
        <f t="shared" si="13"/>
        <v>22</v>
      </c>
      <c r="V74" s="95">
        <f t="shared" si="14"/>
        <v>21.428571428571427</v>
      </c>
    </row>
    <row r="75" spans="1:22" x14ac:dyDescent="0.2">
      <c r="A75" s="94" t="s">
        <v>128</v>
      </c>
      <c r="B75">
        <v>77</v>
      </c>
      <c r="C75">
        <v>2</v>
      </c>
      <c r="D75">
        <v>20</v>
      </c>
      <c r="E75">
        <v>2</v>
      </c>
      <c r="F75">
        <f t="shared" si="10"/>
        <v>18</v>
      </c>
      <c r="G75" s="95">
        <f t="shared" si="11"/>
        <v>10</v>
      </c>
      <c r="P75" s="94" t="s">
        <v>128</v>
      </c>
      <c r="Q75" s="140">
        <f t="shared" si="12"/>
        <v>66451</v>
      </c>
      <c r="R75" s="140">
        <v>2</v>
      </c>
      <c r="S75" s="140">
        <v>20</v>
      </c>
      <c r="T75" s="140">
        <v>2</v>
      </c>
      <c r="U75" s="140">
        <f t="shared" si="13"/>
        <v>18</v>
      </c>
      <c r="V75" s="95">
        <f t="shared" si="14"/>
        <v>10</v>
      </c>
    </row>
    <row r="76" spans="1:22" x14ac:dyDescent="0.2">
      <c r="A76" s="94" t="s">
        <v>128</v>
      </c>
      <c r="B76">
        <v>77</v>
      </c>
      <c r="C76">
        <v>3</v>
      </c>
      <c r="D76">
        <v>29</v>
      </c>
      <c r="E76">
        <v>4</v>
      </c>
      <c r="F76">
        <f t="shared" si="10"/>
        <v>25</v>
      </c>
      <c r="G76" s="95">
        <f t="shared" si="11"/>
        <v>13.793103448275861</v>
      </c>
      <c r="P76" s="94" t="s">
        <v>128</v>
      </c>
      <c r="Q76" s="140">
        <f t="shared" si="12"/>
        <v>66451</v>
      </c>
      <c r="R76" s="140">
        <v>3</v>
      </c>
      <c r="S76" s="140">
        <v>29</v>
      </c>
      <c r="T76" s="140">
        <v>4</v>
      </c>
      <c r="U76" s="140">
        <f t="shared" si="13"/>
        <v>25</v>
      </c>
      <c r="V76" s="95">
        <f t="shared" si="14"/>
        <v>13.793103448275861</v>
      </c>
    </row>
    <row r="77" spans="1:22" x14ac:dyDescent="0.2">
      <c r="A77" s="94" t="s">
        <v>128</v>
      </c>
      <c r="B77">
        <v>148</v>
      </c>
      <c r="C77">
        <v>1</v>
      </c>
      <c r="D77">
        <v>68</v>
      </c>
      <c r="E77">
        <v>21</v>
      </c>
      <c r="F77">
        <f t="shared" si="10"/>
        <v>47</v>
      </c>
      <c r="G77" s="95">
        <f t="shared" si="11"/>
        <v>30.882352941176471</v>
      </c>
      <c r="P77" s="94" t="s">
        <v>128</v>
      </c>
      <c r="Q77" s="140">
        <f t="shared" si="12"/>
        <v>127724</v>
      </c>
      <c r="R77" s="140">
        <v>1</v>
      </c>
      <c r="S77" s="140">
        <v>68</v>
      </c>
      <c r="T77" s="140">
        <v>21</v>
      </c>
      <c r="U77" s="140">
        <f t="shared" si="13"/>
        <v>47</v>
      </c>
      <c r="V77" s="95">
        <f t="shared" si="14"/>
        <v>30.882352941176471</v>
      </c>
    </row>
    <row r="78" spans="1:22" x14ac:dyDescent="0.2">
      <c r="A78" s="94" t="s">
        <v>128</v>
      </c>
      <c r="B78">
        <v>148</v>
      </c>
      <c r="C78">
        <v>2</v>
      </c>
      <c r="D78">
        <v>41</v>
      </c>
      <c r="E78">
        <v>12</v>
      </c>
      <c r="F78">
        <f t="shared" si="10"/>
        <v>29</v>
      </c>
      <c r="G78" s="95">
        <f t="shared" si="11"/>
        <v>29.268292682926827</v>
      </c>
      <c r="P78" s="94" t="s">
        <v>128</v>
      </c>
      <c r="Q78" s="140">
        <f t="shared" si="12"/>
        <v>127724</v>
      </c>
      <c r="R78" s="140">
        <v>2</v>
      </c>
      <c r="S78" s="140">
        <v>41</v>
      </c>
      <c r="T78" s="140">
        <v>12</v>
      </c>
      <c r="U78" s="140">
        <f t="shared" si="13"/>
        <v>29</v>
      </c>
      <c r="V78" s="95">
        <f t="shared" si="14"/>
        <v>29.268292682926827</v>
      </c>
    </row>
    <row r="79" spans="1:22" x14ac:dyDescent="0.2">
      <c r="A79" s="94" t="s">
        <v>128</v>
      </c>
      <c r="B79">
        <v>148</v>
      </c>
      <c r="C79">
        <v>3</v>
      </c>
      <c r="D79">
        <v>17</v>
      </c>
      <c r="E79">
        <v>7</v>
      </c>
      <c r="F79">
        <f t="shared" si="10"/>
        <v>10</v>
      </c>
      <c r="G79" s="95">
        <f t="shared" si="11"/>
        <v>41.17647058823529</v>
      </c>
      <c r="P79" s="94" t="s">
        <v>128</v>
      </c>
      <c r="Q79" s="140">
        <f t="shared" si="12"/>
        <v>127724</v>
      </c>
      <c r="R79" s="140">
        <v>3</v>
      </c>
      <c r="S79" s="140">
        <v>17</v>
      </c>
      <c r="T79" s="140">
        <v>7</v>
      </c>
      <c r="U79" s="140">
        <f t="shared" si="13"/>
        <v>10</v>
      </c>
      <c r="V79" s="95">
        <f t="shared" si="14"/>
        <v>41.17647058823529</v>
      </c>
    </row>
    <row r="80" spans="1:22" x14ac:dyDescent="0.2">
      <c r="A80" s="94" t="s">
        <v>128</v>
      </c>
      <c r="B80">
        <v>231</v>
      </c>
      <c r="C80">
        <v>1</v>
      </c>
      <c r="D80">
        <v>14</v>
      </c>
      <c r="E80">
        <v>4</v>
      </c>
      <c r="F80">
        <f t="shared" si="10"/>
        <v>10</v>
      </c>
      <c r="G80" s="95">
        <f t="shared" si="11"/>
        <v>28.571428571428569</v>
      </c>
      <c r="P80" s="94" t="s">
        <v>128</v>
      </c>
      <c r="Q80" s="140">
        <f t="shared" si="12"/>
        <v>199353</v>
      </c>
      <c r="R80" s="140">
        <v>1</v>
      </c>
      <c r="S80" s="140">
        <v>14</v>
      </c>
      <c r="T80" s="140">
        <v>4</v>
      </c>
      <c r="U80" s="140">
        <f t="shared" si="13"/>
        <v>10</v>
      </c>
      <c r="V80" s="95">
        <f t="shared" si="14"/>
        <v>28.571428571428569</v>
      </c>
    </row>
    <row r="81" spans="1:22" x14ac:dyDescent="0.2">
      <c r="A81" s="94" t="s">
        <v>128</v>
      </c>
      <c r="B81">
        <v>231</v>
      </c>
      <c r="C81">
        <v>2</v>
      </c>
      <c r="D81">
        <v>21</v>
      </c>
      <c r="E81">
        <v>3</v>
      </c>
      <c r="F81">
        <f t="shared" si="10"/>
        <v>18</v>
      </c>
      <c r="G81" s="95">
        <f t="shared" si="11"/>
        <v>14.285714285714285</v>
      </c>
      <c r="P81" s="94" t="s">
        <v>128</v>
      </c>
      <c r="Q81" s="140">
        <f t="shared" si="12"/>
        <v>199353</v>
      </c>
      <c r="R81" s="140">
        <v>2</v>
      </c>
      <c r="S81" s="140">
        <v>21</v>
      </c>
      <c r="T81" s="140">
        <v>3</v>
      </c>
      <c r="U81" s="140">
        <f t="shared" si="13"/>
        <v>18</v>
      </c>
      <c r="V81" s="95">
        <f t="shared" si="14"/>
        <v>14.285714285714285</v>
      </c>
    </row>
    <row r="82" spans="1:22" x14ac:dyDescent="0.2">
      <c r="A82" s="94" t="s">
        <v>128</v>
      </c>
      <c r="B82">
        <v>231</v>
      </c>
      <c r="C82">
        <v>3</v>
      </c>
      <c r="D82">
        <v>39</v>
      </c>
      <c r="E82">
        <v>5</v>
      </c>
      <c r="F82">
        <f t="shared" si="10"/>
        <v>34</v>
      </c>
      <c r="G82" s="95">
        <f t="shared" si="11"/>
        <v>12.820512820512819</v>
      </c>
      <c r="P82" s="94" t="s">
        <v>128</v>
      </c>
      <c r="Q82" s="140">
        <f t="shared" si="12"/>
        <v>199353</v>
      </c>
      <c r="R82" s="140">
        <v>3</v>
      </c>
      <c r="S82" s="140">
        <v>39</v>
      </c>
      <c r="T82" s="140">
        <v>5</v>
      </c>
      <c r="U82" s="140">
        <f t="shared" si="13"/>
        <v>34</v>
      </c>
      <c r="V82" s="95">
        <f t="shared" si="14"/>
        <v>12.820512820512819</v>
      </c>
    </row>
    <row r="83" spans="1:22" x14ac:dyDescent="0.2">
      <c r="A83" s="94" t="s">
        <v>128</v>
      </c>
      <c r="B83">
        <v>444</v>
      </c>
      <c r="C83">
        <v>1</v>
      </c>
      <c r="D83">
        <v>82</v>
      </c>
      <c r="E83">
        <v>24</v>
      </c>
      <c r="F83">
        <f t="shared" si="10"/>
        <v>58</v>
      </c>
      <c r="G83" s="95">
        <f t="shared" si="11"/>
        <v>29.268292682926827</v>
      </c>
      <c r="P83" s="94" t="s">
        <v>128</v>
      </c>
      <c r="Q83" s="140">
        <f t="shared" si="12"/>
        <v>383172</v>
      </c>
      <c r="R83" s="140">
        <v>1</v>
      </c>
      <c r="S83" s="140">
        <v>82</v>
      </c>
      <c r="T83" s="140">
        <v>24</v>
      </c>
      <c r="U83" s="140">
        <f t="shared" si="13"/>
        <v>58</v>
      </c>
      <c r="V83" s="95">
        <f t="shared" si="14"/>
        <v>29.268292682926827</v>
      </c>
    </row>
    <row r="84" spans="1:22" x14ac:dyDescent="0.2">
      <c r="A84" s="94" t="s">
        <v>128</v>
      </c>
      <c r="B84">
        <v>444</v>
      </c>
      <c r="C84">
        <v>2</v>
      </c>
      <c r="D84">
        <v>25</v>
      </c>
      <c r="E84">
        <v>8</v>
      </c>
      <c r="F84">
        <f t="shared" si="10"/>
        <v>17</v>
      </c>
      <c r="G84" s="95">
        <f t="shared" si="11"/>
        <v>32</v>
      </c>
      <c r="P84" s="94" t="s">
        <v>128</v>
      </c>
      <c r="Q84" s="140">
        <f t="shared" si="12"/>
        <v>383172</v>
      </c>
      <c r="R84" s="140">
        <v>2</v>
      </c>
      <c r="S84" s="140">
        <v>25</v>
      </c>
      <c r="T84" s="140">
        <v>8</v>
      </c>
      <c r="U84" s="140">
        <f t="shared" si="13"/>
        <v>17</v>
      </c>
      <c r="V84" s="95">
        <f t="shared" si="14"/>
        <v>32</v>
      </c>
    </row>
    <row r="85" spans="1:22" x14ac:dyDescent="0.2">
      <c r="A85" s="94" t="s">
        <v>128</v>
      </c>
      <c r="B85">
        <v>444</v>
      </c>
      <c r="C85">
        <v>3</v>
      </c>
      <c r="D85">
        <v>55</v>
      </c>
      <c r="E85">
        <v>12</v>
      </c>
      <c r="F85">
        <f t="shared" si="10"/>
        <v>43</v>
      </c>
      <c r="G85" s="95">
        <f t="shared" si="11"/>
        <v>21.818181818181817</v>
      </c>
      <c r="P85" s="94" t="s">
        <v>128</v>
      </c>
      <c r="Q85" s="140">
        <f t="shared" si="12"/>
        <v>383172</v>
      </c>
      <c r="R85" s="140">
        <v>3</v>
      </c>
      <c r="S85" s="140">
        <v>55</v>
      </c>
      <c r="T85" s="140">
        <v>12</v>
      </c>
      <c r="U85" s="140">
        <f t="shared" si="13"/>
        <v>43</v>
      </c>
      <c r="V85" s="95">
        <f t="shared" si="14"/>
        <v>21.818181818181817</v>
      </c>
    </row>
    <row r="86" spans="1:22" x14ac:dyDescent="0.2">
      <c r="A86" s="94" t="s">
        <v>128</v>
      </c>
      <c r="B86">
        <v>694</v>
      </c>
      <c r="C86">
        <v>1</v>
      </c>
      <c r="D86">
        <v>17</v>
      </c>
      <c r="E86">
        <v>5</v>
      </c>
      <c r="F86">
        <f t="shared" si="10"/>
        <v>12</v>
      </c>
      <c r="G86" s="95">
        <f t="shared" si="11"/>
        <v>29.411764705882355</v>
      </c>
      <c r="P86" s="94" t="s">
        <v>128</v>
      </c>
      <c r="Q86" s="140">
        <f t="shared" si="12"/>
        <v>598922</v>
      </c>
      <c r="R86" s="140">
        <v>1</v>
      </c>
      <c r="S86" s="140">
        <v>17</v>
      </c>
      <c r="T86" s="140">
        <v>5</v>
      </c>
      <c r="U86" s="140">
        <f t="shared" si="13"/>
        <v>12</v>
      </c>
      <c r="V86" s="95">
        <f t="shared" si="14"/>
        <v>29.411764705882355</v>
      </c>
    </row>
    <row r="87" spans="1:22" x14ac:dyDescent="0.2">
      <c r="A87" s="94" t="s">
        <v>128</v>
      </c>
      <c r="B87">
        <v>694</v>
      </c>
      <c r="C87">
        <v>2</v>
      </c>
      <c r="D87">
        <v>22</v>
      </c>
      <c r="E87">
        <v>4</v>
      </c>
      <c r="F87">
        <f t="shared" si="10"/>
        <v>18</v>
      </c>
      <c r="G87" s="95">
        <f t="shared" si="11"/>
        <v>18.181818181818183</v>
      </c>
      <c r="P87" s="94" t="s">
        <v>128</v>
      </c>
      <c r="Q87" s="140">
        <f t="shared" si="12"/>
        <v>598922</v>
      </c>
      <c r="R87" s="140">
        <v>2</v>
      </c>
      <c r="S87" s="140">
        <v>22</v>
      </c>
      <c r="T87" s="140">
        <v>4</v>
      </c>
      <c r="U87" s="140">
        <f t="shared" si="13"/>
        <v>18</v>
      </c>
      <c r="V87" s="95">
        <f t="shared" si="14"/>
        <v>18.181818181818183</v>
      </c>
    </row>
    <row r="88" spans="1:22" x14ac:dyDescent="0.2">
      <c r="A88" s="94" t="s">
        <v>128</v>
      </c>
      <c r="B88">
        <v>694</v>
      </c>
      <c r="C88">
        <v>3</v>
      </c>
      <c r="D88">
        <v>15</v>
      </c>
      <c r="E88">
        <v>4</v>
      </c>
      <c r="F88">
        <f t="shared" si="10"/>
        <v>11</v>
      </c>
      <c r="G88" s="95">
        <f t="shared" si="11"/>
        <v>26.666666666666668</v>
      </c>
      <c r="P88" s="94" t="s">
        <v>128</v>
      </c>
      <c r="Q88" s="140">
        <f t="shared" si="12"/>
        <v>598922</v>
      </c>
      <c r="R88" s="140">
        <v>3</v>
      </c>
      <c r="S88" s="140">
        <v>15</v>
      </c>
      <c r="T88" s="140">
        <v>4</v>
      </c>
      <c r="U88" s="140">
        <f t="shared" si="13"/>
        <v>11</v>
      </c>
      <c r="V88" s="95">
        <f t="shared" si="14"/>
        <v>26.666666666666668</v>
      </c>
    </row>
    <row r="89" spans="1:22" x14ac:dyDescent="0.2">
      <c r="A89" s="94" t="s">
        <v>128</v>
      </c>
      <c r="B89">
        <v>1333</v>
      </c>
      <c r="C89">
        <v>1</v>
      </c>
      <c r="D89">
        <v>21</v>
      </c>
      <c r="E89">
        <v>8</v>
      </c>
      <c r="F89">
        <f t="shared" si="10"/>
        <v>13</v>
      </c>
      <c r="G89" s="95">
        <f t="shared" si="11"/>
        <v>38.095238095238095</v>
      </c>
      <c r="P89" s="94" t="s">
        <v>128</v>
      </c>
      <c r="Q89" s="140">
        <f t="shared" si="12"/>
        <v>1150379</v>
      </c>
      <c r="R89" s="140">
        <v>1</v>
      </c>
      <c r="S89" s="140">
        <v>21</v>
      </c>
      <c r="T89" s="140">
        <v>8</v>
      </c>
      <c r="U89" s="140">
        <f t="shared" si="13"/>
        <v>13</v>
      </c>
      <c r="V89" s="95">
        <f t="shared" si="14"/>
        <v>38.095238095238095</v>
      </c>
    </row>
    <row r="90" spans="1:22" x14ac:dyDescent="0.2">
      <c r="A90" s="94" t="s">
        <v>128</v>
      </c>
      <c r="B90">
        <v>1333</v>
      </c>
      <c r="C90">
        <v>2</v>
      </c>
      <c r="D90">
        <v>27</v>
      </c>
      <c r="E90">
        <v>8</v>
      </c>
      <c r="F90">
        <f t="shared" si="10"/>
        <v>19</v>
      </c>
      <c r="G90" s="95">
        <f t="shared" si="11"/>
        <v>29.629629629629626</v>
      </c>
      <c r="P90" s="94" t="s">
        <v>128</v>
      </c>
      <c r="Q90" s="140">
        <f t="shared" si="12"/>
        <v>1150379</v>
      </c>
      <c r="R90" s="140">
        <v>2</v>
      </c>
      <c r="S90" s="140">
        <v>27</v>
      </c>
      <c r="T90" s="140">
        <v>8</v>
      </c>
      <c r="U90" s="140">
        <f t="shared" si="13"/>
        <v>19</v>
      </c>
      <c r="V90" s="95">
        <f t="shared" si="14"/>
        <v>29.629629629629626</v>
      </c>
    </row>
    <row r="91" spans="1:22" x14ac:dyDescent="0.2">
      <c r="A91" s="94" t="s">
        <v>128</v>
      </c>
      <c r="B91">
        <v>1333</v>
      </c>
      <c r="C91">
        <v>3</v>
      </c>
      <c r="D91">
        <v>37</v>
      </c>
      <c r="E91">
        <v>13</v>
      </c>
      <c r="F91">
        <f t="shared" si="10"/>
        <v>24</v>
      </c>
      <c r="G91" s="95">
        <f t="shared" si="11"/>
        <v>35.135135135135137</v>
      </c>
      <c r="P91" s="94" t="s">
        <v>128</v>
      </c>
      <c r="Q91" s="140">
        <f t="shared" si="12"/>
        <v>1150379</v>
      </c>
      <c r="R91" s="140">
        <v>3</v>
      </c>
      <c r="S91" s="140">
        <v>37</v>
      </c>
      <c r="T91" s="140">
        <v>13</v>
      </c>
      <c r="U91" s="140">
        <f t="shared" si="13"/>
        <v>24</v>
      </c>
      <c r="V91" s="95">
        <f t="shared" si="14"/>
        <v>35.135135135135137</v>
      </c>
    </row>
    <row r="92" spans="1:22" x14ac:dyDescent="0.2">
      <c r="A92" s="94" t="s">
        <v>128</v>
      </c>
      <c r="B92">
        <v>2083</v>
      </c>
      <c r="C92">
        <v>1</v>
      </c>
      <c r="D92">
        <v>14</v>
      </c>
      <c r="E92">
        <v>6</v>
      </c>
      <c r="F92">
        <f t="shared" si="10"/>
        <v>8</v>
      </c>
      <c r="G92" s="95">
        <f t="shared" si="11"/>
        <v>42.857142857142854</v>
      </c>
      <c r="P92" s="94" t="s">
        <v>128</v>
      </c>
      <c r="Q92" s="140">
        <f t="shared" si="12"/>
        <v>1797629</v>
      </c>
      <c r="R92" s="140">
        <v>1</v>
      </c>
      <c r="S92" s="140">
        <v>14</v>
      </c>
      <c r="T92" s="140">
        <v>6</v>
      </c>
      <c r="U92" s="140">
        <f t="shared" si="13"/>
        <v>8</v>
      </c>
      <c r="V92" s="95">
        <f t="shared" si="14"/>
        <v>42.857142857142854</v>
      </c>
    </row>
    <row r="93" spans="1:22" x14ac:dyDescent="0.2">
      <c r="A93" s="94" t="s">
        <v>128</v>
      </c>
      <c r="B93">
        <v>2083</v>
      </c>
      <c r="C93">
        <v>2</v>
      </c>
      <c r="D93">
        <v>31</v>
      </c>
      <c r="E93">
        <v>9</v>
      </c>
      <c r="F93">
        <f t="shared" si="10"/>
        <v>22</v>
      </c>
      <c r="G93" s="95">
        <f t="shared" si="11"/>
        <v>29.032258064516132</v>
      </c>
      <c r="P93" s="94" t="s">
        <v>128</v>
      </c>
      <c r="Q93" s="140">
        <f t="shared" si="12"/>
        <v>1797629</v>
      </c>
      <c r="R93" s="140">
        <v>2</v>
      </c>
      <c r="S93" s="140">
        <v>31</v>
      </c>
      <c r="T93" s="140">
        <v>9</v>
      </c>
      <c r="U93" s="140">
        <f t="shared" si="13"/>
        <v>22</v>
      </c>
      <c r="V93" s="95">
        <f t="shared" si="14"/>
        <v>29.032258064516132</v>
      </c>
    </row>
    <row r="94" spans="1:22" x14ac:dyDescent="0.2">
      <c r="A94" s="94" t="s">
        <v>128</v>
      </c>
      <c r="B94">
        <v>2083</v>
      </c>
      <c r="C94">
        <v>3</v>
      </c>
      <c r="D94">
        <v>71</v>
      </c>
      <c r="E94">
        <v>12</v>
      </c>
      <c r="F94">
        <f t="shared" si="10"/>
        <v>59</v>
      </c>
      <c r="G94" s="95">
        <f t="shared" si="11"/>
        <v>16.901408450704224</v>
      </c>
      <c r="P94" s="94" t="s">
        <v>128</v>
      </c>
      <c r="Q94" s="140">
        <f t="shared" si="12"/>
        <v>1797629</v>
      </c>
      <c r="R94" s="140">
        <v>3</v>
      </c>
      <c r="S94" s="140">
        <v>71</v>
      </c>
      <c r="T94" s="140">
        <v>12</v>
      </c>
      <c r="U94" s="140">
        <f t="shared" si="13"/>
        <v>59</v>
      </c>
      <c r="V94" s="95">
        <f t="shared" si="14"/>
        <v>16.901408450704224</v>
      </c>
    </row>
    <row r="95" spans="1:22" x14ac:dyDescent="0.2">
      <c r="A95" s="94" t="s">
        <v>128</v>
      </c>
      <c r="B95">
        <v>4000</v>
      </c>
      <c r="C95">
        <v>1</v>
      </c>
      <c r="D95">
        <v>19</v>
      </c>
      <c r="E95">
        <v>8</v>
      </c>
      <c r="F95">
        <f t="shared" si="10"/>
        <v>11</v>
      </c>
      <c r="G95" s="95">
        <f t="shared" si="11"/>
        <v>42.105263157894733</v>
      </c>
      <c r="P95" s="94" t="s">
        <v>128</v>
      </c>
      <c r="Q95" s="140">
        <f t="shared" si="12"/>
        <v>3452000</v>
      </c>
      <c r="R95" s="140">
        <v>1</v>
      </c>
      <c r="S95" s="140">
        <v>19</v>
      </c>
      <c r="T95" s="140">
        <v>8</v>
      </c>
      <c r="U95" s="140">
        <f t="shared" si="13"/>
        <v>11</v>
      </c>
      <c r="V95" s="95">
        <f t="shared" si="14"/>
        <v>42.105263157894733</v>
      </c>
    </row>
    <row r="96" spans="1:22" x14ac:dyDescent="0.2">
      <c r="A96" s="94" t="s">
        <v>128</v>
      </c>
      <c r="B96">
        <v>4000</v>
      </c>
      <c r="C96">
        <v>2</v>
      </c>
      <c r="D96">
        <v>43</v>
      </c>
      <c r="E96">
        <v>11</v>
      </c>
      <c r="F96">
        <f t="shared" si="10"/>
        <v>32</v>
      </c>
      <c r="G96" s="95">
        <f t="shared" si="11"/>
        <v>25.581395348837212</v>
      </c>
      <c r="P96" s="94" t="s">
        <v>128</v>
      </c>
      <c r="Q96" s="140">
        <f t="shared" si="12"/>
        <v>3452000</v>
      </c>
      <c r="R96" s="140">
        <v>2</v>
      </c>
      <c r="S96" s="140">
        <v>43</v>
      </c>
      <c r="T96" s="140">
        <v>11</v>
      </c>
      <c r="U96" s="140">
        <f t="shared" si="13"/>
        <v>32</v>
      </c>
      <c r="V96" s="95">
        <f t="shared" si="14"/>
        <v>25.581395348837212</v>
      </c>
    </row>
    <row r="97" spans="1:22" ht="17" thickBot="1" x14ac:dyDescent="0.25">
      <c r="A97" s="96" t="s">
        <v>128</v>
      </c>
      <c r="B97" s="97">
        <v>4000</v>
      </c>
      <c r="C97" s="97">
        <v>3</v>
      </c>
      <c r="D97" s="97">
        <v>36</v>
      </c>
      <c r="E97" s="97">
        <v>11</v>
      </c>
      <c r="F97" s="97">
        <f t="shared" si="10"/>
        <v>25</v>
      </c>
      <c r="G97" s="98">
        <f t="shared" si="11"/>
        <v>30.555555555555557</v>
      </c>
      <c r="P97" s="96" t="s">
        <v>128</v>
      </c>
      <c r="Q97" s="97">
        <f t="shared" si="12"/>
        <v>3452000</v>
      </c>
      <c r="R97" s="97">
        <v>3</v>
      </c>
      <c r="S97" s="97">
        <v>36</v>
      </c>
      <c r="T97" s="97">
        <v>11</v>
      </c>
      <c r="U97" s="97">
        <f t="shared" si="13"/>
        <v>25</v>
      </c>
      <c r="V97" s="98">
        <f t="shared" si="14"/>
        <v>30.555555555555557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F7CB-B022-D54A-8B3D-A142666DC5C9}">
  <dimension ref="A1:H97"/>
  <sheetViews>
    <sheetView tabSelected="1" topLeftCell="A79" workbookViewId="0">
      <selection activeCell="H97" sqref="A1:H97"/>
    </sheetView>
  </sheetViews>
  <sheetFormatPr baseColWidth="10" defaultRowHeight="16" x14ac:dyDescent="0.2"/>
  <cols>
    <col min="2" max="2" width="17.83203125" bestFit="1" customWidth="1"/>
    <col min="3" max="3" width="18.83203125" bestFit="1" customWidth="1"/>
  </cols>
  <sheetData>
    <row r="1" spans="1:8" x14ac:dyDescent="0.2">
      <c r="A1" s="141" t="s">
        <v>129</v>
      </c>
      <c r="B1" s="142" t="s">
        <v>143</v>
      </c>
      <c r="C1" s="141" t="s">
        <v>124</v>
      </c>
      <c r="D1" s="141" t="s">
        <v>130</v>
      </c>
      <c r="E1" s="141" t="s">
        <v>68</v>
      </c>
      <c r="F1" s="141" t="s">
        <v>131</v>
      </c>
      <c r="G1" s="142" t="s">
        <v>44</v>
      </c>
      <c r="H1" s="142" t="s">
        <v>132</v>
      </c>
    </row>
    <row r="2" spans="1:8" x14ac:dyDescent="0.2">
      <c r="A2" s="140" t="s">
        <v>126</v>
      </c>
      <c r="B2" s="140">
        <v>0</v>
      </c>
      <c r="C2" s="140">
        <v>0</v>
      </c>
      <c r="D2" s="140">
        <v>1</v>
      </c>
      <c r="E2" s="140">
        <v>20</v>
      </c>
      <c r="F2" s="140">
        <v>7</v>
      </c>
      <c r="G2" s="140">
        <f>E2-F2</f>
        <v>13</v>
      </c>
      <c r="H2" s="140">
        <f>F2/E2*100</f>
        <v>35</v>
      </c>
    </row>
    <row r="3" spans="1:8" x14ac:dyDescent="0.2">
      <c r="A3" s="140" t="s">
        <v>126</v>
      </c>
      <c r="B3" s="140">
        <v>0</v>
      </c>
      <c r="C3" s="140">
        <v>0</v>
      </c>
      <c r="D3" s="140">
        <v>2</v>
      </c>
      <c r="E3" s="140">
        <v>33</v>
      </c>
      <c r="F3" s="140">
        <v>8</v>
      </c>
      <c r="G3" s="140">
        <f t="shared" ref="G3:G34" si="0">E3-F3</f>
        <v>25</v>
      </c>
      <c r="H3" s="140">
        <f t="shared" ref="H3:H34" si="1">F3/E3*100</f>
        <v>24.242424242424242</v>
      </c>
    </row>
    <row r="4" spans="1:8" x14ac:dyDescent="0.2">
      <c r="A4" s="140" t="s">
        <v>126</v>
      </c>
      <c r="B4" s="140">
        <v>0</v>
      </c>
      <c r="C4" s="140">
        <v>0</v>
      </c>
      <c r="D4" s="140">
        <v>3</v>
      </c>
      <c r="E4" s="140">
        <v>32</v>
      </c>
      <c r="F4" s="140">
        <v>5</v>
      </c>
      <c r="G4" s="140">
        <f t="shared" si="0"/>
        <v>27</v>
      </c>
      <c r="H4" s="140">
        <f t="shared" si="1"/>
        <v>15.625</v>
      </c>
    </row>
    <row r="5" spans="1:8" x14ac:dyDescent="0.2">
      <c r="A5" s="140" t="s">
        <v>126</v>
      </c>
      <c r="B5" s="140">
        <v>0</v>
      </c>
      <c r="C5" s="140">
        <v>0</v>
      </c>
      <c r="D5" s="140">
        <v>4</v>
      </c>
      <c r="E5" s="140">
        <v>30</v>
      </c>
      <c r="F5" s="140">
        <v>2</v>
      </c>
      <c r="G5" s="140">
        <f t="shared" si="0"/>
        <v>28</v>
      </c>
      <c r="H5" s="140">
        <f t="shared" si="1"/>
        <v>6.666666666666667</v>
      </c>
    </row>
    <row r="6" spans="1:8" x14ac:dyDescent="0.2">
      <c r="A6" s="140" t="s">
        <v>126</v>
      </c>
      <c r="B6" s="140">
        <v>0</v>
      </c>
      <c r="C6" s="140">
        <v>0</v>
      </c>
      <c r="D6" s="140">
        <v>5</v>
      </c>
      <c r="E6" s="140">
        <v>35</v>
      </c>
      <c r="F6" s="140">
        <v>8</v>
      </c>
      <c r="G6" s="140">
        <f t="shared" si="0"/>
        <v>27</v>
      </c>
      <c r="H6" s="140">
        <f t="shared" si="1"/>
        <v>22.857142857142858</v>
      </c>
    </row>
    <row r="7" spans="1:8" x14ac:dyDescent="0.2">
      <c r="A7" s="140" t="s">
        <v>126</v>
      </c>
      <c r="B7" s="140">
        <v>0</v>
      </c>
      <c r="C7" s="140">
        <v>0</v>
      </c>
      <c r="D7" s="140">
        <v>6</v>
      </c>
      <c r="E7" s="140">
        <v>35</v>
      </c>
      <c r="F7" s="140">
        <v>7</v>
      </c>
      <c r="G7" s="140">
        <f t="shared" si="0"/>
        <v>28</v>
      </c>
      <c r="H7" s="140">
        <f t="shared" si="1"/>
        <v>20</v>
      </c>
    </row>
    <row r="8" spans="1:8" x14ac:dyDescent="0.2">
      <c r="A8" s="140" t="s">
        <v>126</v>
      </c>
      <c r="B8" s="140">
        <v>76187.5</v>
      </c>
      <c r="C8" s="140">
        <v>0.53</v>
      </c>
      <c r="D8" s="140">
        <v>1</v>
      </c>
      <c r="E8" s="140">
        <v>25</v>
      </c>
      <c r="F8" s="140">
        <v>6</v>
      </c>
      <c r="G8" s="140">
        <f t="shared" si="0"/>
        <v>19</v>
      </c>
      <c r="H8" s="140">
        <f t="shared" si="1"/>
        <v>24</v>
      </c>
    </row>
    <row r="9" spans="1:8" x14ac:dyDescent="0.2">
      <c r="A9" s="140" t="s">
        <v>126</v>
      </c>
      <c r="B9" s="140">
        <v>76187.5</v>
      </c>
      <c r="C9" s="140">
        <v>0.53</v>
      </c>
      <c r="D9" s="140">
        <v>2</v>
      </c>
      <c r="E9" s="140">
        <v>21</v>
      </c>
      <c r="F9" s="140">
        <v>4</v>
      </c>
      <c r="G9" s="140">
        <f t="shared" si="0"/>
        <v>17</v>
      </c>
      <c r="H9" s="140">
        <f t="shared" si="1"/>
        <v>19.047619047619047</v>
      </c>
    </row>
    <row r="10" spans="1:8" x14ac:dyDescent="0.2">
      <c r="A10" s="140" t="s">
        <v>126</v>
      </c>
      <c r="B10" s="140">
        <v>76187.5</v>
      </c>
      <c r="C10" s="140">
        <v>0.53</v>
      </c>
      <c r="D10" s="140">
        <v>3</v>
      </c>
      <c r="E10" s="140">
        <v>41</v>
      </c>
      <c r="F10" s="140">
        <v>10</v>
      </c>
      <c r="G10" s="140">
        <f t="shared" si="0"/>
        <v>31</v>
      </c>
      <c r="H10" s="140">
        <f t="shared" si="1"/>
        <v>24.390243902439025</v>
      </c>
    </row>
    <row r="11" spans="1:8" x14ac:dyDescent="0.2">
      <c r="A11" s="140" t="s">
        <v>126</v>
      </c>
      <c r="B11" s="140">
        <v>230000</v>
      </c>
      <c r="C11" s="140">
        <v>1.6</v>
      </c>
      <c r="D11" s="140">
        <v>1</v>
      </c>
      <c r="E11" s="140">
        <v>27</v>
      </c>
      <c r="F11" s="140">
        <v>8</v>
      </c>
      <c r="G11" s="140">
        <f t="shared" si="0"/>
        <v>19</v>
      </c>
      <c r="H11" s="140">
        <f t="shared" si="1"/>
        <v>29.629629629629626</v>
      </c>
    </row>
    <row r="12" spans="1:8" x14ac:dyDescent="0.2">
      <c r="A12" s="140" t="s">
        <v>126</v>
      </c>
      <c r="B12" s="140">
        <v>230000</v>
      </c>
      <c r="C12" s="140">
        <v>1.6</v>
      </c>
      <c r="D12" s="140">
        <v>2</v>
      </c>
      <c r="E12" s="140">
        <v>24</v>
      </c>
      <c r="F12" s="140">
        <v>7</v>
      </c>
      <c r="G12" s="140">
        <f t="shared" si="0"/>
        <v>17</v>
      </c>
      <c r="H12" s="140">
        <f t="shared" si="1"/>
        <v>29.166666666666668</v>
      </c>
    </row>
    <row r="13" spans="1:8" x14ac:dyDescent="0.2">
      <c r="A13" s="140" t="s">
        <v>126</v>
      </c>
      <c r="B13" s="140">
        <v>230000</v>
      </c>
      <c r="C13" s="140">
        <v>1.6</v>
      </c>
      <c r="D13" s="140">
        <v>3</v>
      </c>
      <c r="E13" s="140">
        <v>38</v>
      </c>
      <c r="F13" s="140">
        <v>12</v>
      </c>
      <c r="G13" s="140">
        <f t="shared" si="0"/>
        <v>26</v>
      </c>
      <c r="H13" s="140">
        <f t="shared" si="1"/>
        <v>31.578947368421051</v>
      </c>
    </row>
    <row r="14" spans="1:8" x14ac:dyDescent="0.2">
      <c r="A14" s="140" t="s">
        <v>126</v>
      </c>
      <c r="B14" s="140">
        <v>632500</v>
      </c>
      <c r="C14" s="140">
        <v>4.4000000000000004</v>
      </c>
      <c r="D14" s="140">
        <v>1</v>
      </c>
      <c r="E14" s="140">
        <v>24</v>
      </c>
      <c r="F14" s="140">
        <v>6</v>
      </c>
      <c r="G14" s="140">
        <f t="shared" si="0"/>
        <v>18</v>
      </c>
      <c r="H14" s="140">
        <f t="shared" si="1"/>
        <v>25</v>
      </c>
    </row>
    <row r="15" spans="1:8" x14ac:dyDescent="0.2">
      <c r="A15" s="140" t="s">
        <v>126</v>
      </c>
      <c r="B15" s="140">
        <v>632500</v>
      </c>
      <c r="C15" s="140">
        <v>4.4000000000000004</v>
      </c>
      <c r="D15" s="140">
        <v>2</v>
      </c>
      <c r="E15" s="140">
        <v>62</v>
      </c>
      <c r="F15" s="140">
        <v>26</v>
      </c>
      <c r="G15" s="140">
        <f t="shared" si="0"/>
        <v>36</v>
      </c>
      <c r="H15" s="140">
        <f t="shared" si="1"/>
        <v>41.935483870967744</v>
      </c>
    </row>
    <row r="16" spans="1:8" x14ac:dyDescent="0.2">
      <c r="A16" s="140" t="s">
        <v>126</v>
      </c>
      <c r="B16" s="140">
        <v>632500</v>
      </c>
      <c r="C16" s="140">
        <v>4.4000000000000004</v>
      </c>
      <c r="D16" s="140">
        <v>3</v>
      </c>
      <c r="E16" s="140">
        <v>28</v>
      </c>
      <c r="F16" s="140">
        <v>8</v>
      </c>
      <c r="G16" s="140">
        <f t="shared" si="0"/>
        <v>20</v>
      </c>
      <c r="H16" s="140">
        <f t="shared" si="1"/>
        <v>28.571428571428569</v>
      </c>
    </row>
    <row r="17" spans="1:8" x14ac:dyDescent="0.2">
      <c r="A17" s="140" t="s">
        <v>126</v>
      </c>
      <c r="B17" s="140">
        <v>675625</v>
      </c>
      <c r="C17" s="140">
        <v>4.7</v>
      </c>
      <c r="D17" s="140">
        <v>1</v>
      </c>
      <c r="E17" s="140">
        <v>21</v>
      </c>
      <c r="F17" s="140">
        <v>9</v>
      </c>
      <c r="G17" s="140">
        <f t="shared" si="0"/>
        <v>12</v>
      </c>
      <c r="H17" s="140">
        <f t="shared" si="1"/>
        <v>42.857142857142854</v>
      </c>
    </row>
    <row r="18" spans="1:8" x14ac:dyDescent="0.2">
      <c r="A18" s="140" t="s">
        <v>126</v>
      </c>
      <c r="B18" s="140">
        <v>675625</v>
      </c>
      <c r="C18" s="140">
        <v>4.7</v>
      </c>
      <c r="D18" s="140">
        <v>2</v>
      </c>
      <c r="E18" s="140">
        <v>57</v>
      </c>
      <c r="F18" s="140">
        <v>15</v>
      </c>
      <c r="G18" s="140">
        <f t="shared" si="0"/>
        <v>42</v>
      </c>
      <c r="H18" s="140">
        <f t="shared" si="1"/>
        <v>26.315789473684209</v>
      </c>
    </row>
    <row r="19" spans="1:8" x14ac:dyDescent="0.2">
      <c r="A19" s="140" t="s">
        <v>126</v>
      </c>
      <c r="B19" s="140">
        <v>675625</v>
      </c>
      <c r="C19" s="140">
        <v>4.7</v>
      </c>
      <c r="D19" s="140">
        <v>3</v>
      </c>
      <c r="E19" s="140">
        <v>67</v>
      </c>
      <c r="F19" s="140">
        <v>19</v>
      </c>
      <c r="G19" s="140">
        <f t="shared" si="0"/>
        <v>48</v>
      </c>
      <c r="H19" s="140">
        <f t="shared" si="1"/>
        <v>28.35820895522388</v>
      </c>
    </row>
    <row r="20" spans="1:8" x14ac:dyDescent="0.2">
      <c r="A20" s="140" t="s">
        <v>126</v>
      </c>
      <c r="B20" s="140">
        <v>1868750</v>
      </c>
      <c r="C20" s="140">
        <v>13</v>
      </c>
      <c r="D20" s="140">
        <v>1</v>
      </c>
      <c r="E20" s="140">
        <v>15</v>
      </c>
      <c r="F20" s="140">
        <v>5</v>
      </c>
      <c r="G20" s="140">
        <f t="shared" si="0"/>
        <v>10</v>
      </c>
      <c r="H20" s="140">
        <f t="shared" si="1"/>
        <v>33.333333333333329</v>
      </c>
    </row>
    <row r="21" spans="1:8" x14ac:dyDescent="0.2">
      <c r="A21" s="140" t="s">
        <v>126</v>
      </c>
      <c r="B21" s="140">
        <v>1868750</v>
      </c>
      <c r="C21" s="140">
        <v>13</v>
      </c>
      <c r="D21" s="140">
        <v>2</v>
      </c>
      <c r="E21" s="140">
        <v>43</v>
      </c>
      <c r="F21" s="140">
        <v>16</v>
      </c>
      <c r="G21" s="140">
        <f t="shared" si="0"/>
        <v>27</v>
      </c>
      <c r="H21" s="140">
        <f t="shared" si="1"/>
        <v>37.209302325581397</v>
      </c>
    </row>
    <row r="22" spans="1:8" x14ac:dyDescent="0.2">
      <c r="A22" s="140" t="s">
        <v>126</v>
      </c>
      <c r="B22" s="140">
        <v>1868750</v>
      </c>
      <c r="C22" s="140">
        <v>13</v>
      </c>
      <c r="D22" s="140">
        <v>3</v>
      </c>
      <c r="E22" s="140">
        <v>64</v>
      </c>
      <c r="F22" s="140">
        <v>20</v>
      </c>
      <c r="G22" s="140">
        <f t="shared" si="0"/>
        <v>44</v>
      </c>
      <c r="H22" s="140">
        <f t="shared" si="1"/>
        <v>31.25</v>
      </c>
    </row>
    <row r="23" spans="1:8" x14ac:dyDescent="0.2">
      <c r="A23" s="140" t="s">
        <v>126</v>
      </c>
      <c r="B23" s="140">
        <v>2012500</v>
      </c>
      <c r="C23" s="140">
        <v>14</v>
      </c>
      <c r="D23" s="140">
        <v>1</v>
      </c>
      <c r="E23" s="140">
        <v>13</v>
      </c>
      <c r="F23" s="140">
        <v>6</v>
      </c>
      <c r="G23" s="140">
        <f t="shared" si="0"/>
        <v>7</v>
      </c>
      <c r="H23" s="140">
        <f t="shared" si="1"/>
        <v>46.153846153846153</v>
      </c>
    </row>
    <row r="24" spans="1:8" x14ac:dyDescent="0.2">
      <c r="A24" s="140" t="s">
        <v>126</v>
      </c>
      <c r="B24" s="140">
        <v>2012500</v>
      </c>
      <c r="C24" s="140">
        <v>14</v>
      </c>
      <c r="D24" s="140">
        <v>2</v>
      </c>
      <c r="E24" s="140">
        <v>50</v>
      </c>
      <c r="F24" s="140">
        <v>17</v>
      </c>
      <c r="G24" s="140">
        <f t="shared" si="0"/>
        <v>33</v>
      </c>
      <c r="H24" s="140">
        <f t="shared" si="1"/>
        <v>34</v>
      </c>
    </row>
    <row r="25" spans="1:8" x14ac:dyDescent="0.2">
      <c r="A25" s="140" t="s">
        <v>126</v>
      </c>
      <c r="B25" s="140">
        <v>2012500</v>
      </c>
      <c r="C25" s="140">
        <v>14</v>
      </c>
      <c r="D25" s="140">
        <v>3</v>
      </c>
      <c r="E25" s="140">
        <v>49</v>
      </c>
      <c r="F25" s="140">
        <v>18</v>
      </c>
      <c r="G25" s="140">
        <f t="shared" si="0"/>
        <v>31</v>
      </c>
      <c r="H25" s="140">
        <f t="shared" si="1"/>
        <v>36.734693877551024</v>
      </c>
    </row>
    <row r="26" spans="1:8" x14ac:dyDescent="0.2">
      <c r="A26" s="140" t="s">
        <v>126</v>
      </c>
      <c r="B26" s="140">
        <v>5750000</v>
      </c>
      <c r="C26" s="140">
        <v>40</v>
      </c>
      <c r="D26" s="140">
        <v>1</v>
      </c>
      <c r="E26" s="140">
        <v>21</v>
      </c>
      <c r="F26" s="140">
        <v>8</v>
      </c>
      <c r="G26" s="140">
        <f t="shared" si="0"/>
        <v>13</v>
      </c>
      <c r="H26" s="140">
        <f t="shared" si="1"/>
        <v>38.095238095238095</v>
      </c>
    </row>
    <row r="27" spans="1:8" x14ac:dyDescent="0.2">
      <c r="A27" s="140" t="s">
        <v>126</v>
      </c>
      <c r="B27" s="140">
        <v>5750000</v>
      </c>
      <c r="C27" s="140">
        <v>40</v>
      </c>
      <c r="D27" s="140">
        <v>2</v>
      </c>
      <c r="E27" s="140">
        <v>54</v>
      </c>
      <c r="F27" s="140">
        <v>21</v>
      </c>
      <c r="G27" s="140">
        <f t="shared" si="0"/>
        <v>33</v>
      </c>
      <c r="H27" s="140">
        <f t="shared" si="1"/>
        <v>38.888888888888893</v>
      </c>
    </row>
    <row r="28" spans="1:8" x14ac:dyDescent="0.2">
      <c r="A28" s="140" t="s">
        <v>126</v>
      </c>
      <c r="B28" s="140">
        <v>5750000</v>
      </c>
      <c r="C28" s="140">
        <v>40</v>
      </c>
      <c r="D28" s="140">
        <v>3</v>
      </c>
      <c r="E28" s="140">
        <v>59</v>
      </c>
      <c r="F28" s="140">
        <v>22</v>
      </c>
      <c r="G28" s="140">
        <f t="shared" si="0"/>
        <v>37</v>
      </c>
      <c r="H28" s="140">
        <f t="shared" si="1"/>
        <v>37.288135593220339</v>
      </c>
    </row>
    <row r="29" spans="1:8" x14ac:dyDescent="0.2">
      <c r="A29" s="140" t="s">
        <v>126</v>
      </c>
      <c r="B29" s="140">
        <v>6181250</v>
      </c>
      <c r="C29" s="140">
        <v>43</v>
      </c>
      <c r="D29" s="140">
        <v>1</v>
      </c>
      <c r="E29" s="140">
        <v>11</v>
      </c>
      <c r="F29" s="140">
        <v>7</v>
      </c>
      <c r="G29" s="140">
        <f t="shared" si="0"/>
        <v>4</v>
      </c>
      <c r="H29" s="140">
        <f t="shared" si="1"/>
        <v>63.636363636363633</v>
      </c>
    </row>
    <row r="30" spans="1:8" x14ac:dyDescent="0.2">
      <c r="A30" s="140" t="s">
        <v>126</v>
      </c>
      <c r="B30" s="140">
        <v>6181250</v>
      </c>
      <c r="C30" s="140">
        <v>43</v>
      </c>
      <c r="D30" s="140">
        <v>2</v>
      </c>
      <c r="E30" s="140">
        <v>46</v>
      </c>
      <c r="F30" s="140">
        <v>16</v>
      </c>
      <c r="G30" s="140">
        <f t="shared" si="0"/>
        <v>30</v>
      </c>
      <c r="H30" s="140">
        <f t="shared" si="1"/>
        <v>34.782608695652172</v>
      </c>
    </row>
    <row r="31" spans="1:8" x14ac:dyDescent="0.2">
      <c r="A31" s="140" t="s">
        <v>126</v>
      </c>
      <c r="B31" s="140">
        <v>6181250</v>
      </c>
      <c r="C31" s="140">
        <v>43</v>
      </c>
      <c r="D31" s="140">
        <v>3</v>
      </c>
      <c r="E31" s="140">
        <v>19</v>
      </c>
      <c r="F31" s="140">
        <v>7</v>
      </c>
      <c r="G31" s="140">
        <f t="shared" si="0"/>
        <v>12</v>
      </c>
      <c r="H31" s="140">
        <f t="shared" si="1"/>
        <v>36.84210526315789</v>
      </c>
    </row>
    <row r="32" spans="1:8" x14ac:dyDescent="0.2">
      <c r="A32" s="140" t="s">
        <v>126</v>
      </c>
      <c r="B32" s="140">
        <v>17250000</v>
      </c>
      <c r="C32" s="140">
        <v>120</v>
      </c>
      <c r="D32" s="140">
        <v>1</v>
      </c>
      <c r="E32" s="140">
        <v>22</v>
      </c>
      <c r="F32" s="140">
        <v>10</v>
      </c>
      <c r="G32" s="140">
        <f t="shared" si="0"/>
        <v>12</v>
      </c>
      <c r="H32" s="140">
        <f t="shared" si="1"/>
        <v>45.454545454545453</v>
      </c>
    </row>
    <row r="33" spans="1:8" x14ac:dyDescent="0.2">
      <c r="A33" s="140" t="s">
        <v>126</v>
      </c>
      <c r="B33" s="140">
        <v>17250000</v>
      </c>
      <c r="C33" s="140">
        <v>120</v>
      </c>
      <c r="D33" s="140">
        <v>2</v>
      </c>
      <c r="E33" s="140">
        <v>38</v>
      </c>
      <c r="F33" s="140">
        <v>12</v>
      </c>
      <c r="G33" s="140">
        <f t="shared" si="0"/>
        <v>26</v>
      </c>
      <c r="H33" s="140">
        <f t="shared" si="1"/>
        <v>31.578947368421051</v>
      </c>
    </row>
    <row r="34" spans="1:8" x14ac:dyDescent="0.2">
      <c r="A34" s="140" t="s">
        <v>126</v>
      </c>
      <c r="B34" s="140">
        <v>17250000</v>
      </c>
      <c r="C34" s="140">
        <v>120</v>
      </c>
      <c r="D34" s="140">
        <v>3</v>
      </c>
      <c r="E34" s="140">
        <v>40</v>
      </c>
      <c r="F34" s="140">
        <v>14</v>
      </c>
      <c r="G34" s="140">
        <f t="shared" si="0"/>
        <v>26</v>
      </c>
      <c r="H34" s="140">
        <f t="shared" si="1"/>
        <v>35</v>
      </c>
    </row>
    <row r="35" spans="1:8" x14ac:dyDescent="0.2">
      <c r="A35" s="140" t="s">
        <v>127</v>
      </c>
      <c r="B35" s="140">
        <v>0</v>
      </c>
      <c r="C35" s="140">
        <v>0</v>
      </c>
      <c r="D35" s="140">
        <v>1</v>
      </c>
      <c r="E35" s="140">
        <v>23</v>
      </c>
      <c r="F35" s="140">
        <v>13</v>
      </c>
      <c r="G35" s="140">
        <f>E35-F35</f>
        <v>10</v>
      </c>
      <c r="H35" s="140">
        <f>F35/E35*100</f>
        <v>56.521739130434781</v>
      </c>
    </row>
    <row r="36" spans="1:8" x14ac:dyDescent="0.2">
      <c r="A36" s="140" t="s">
        <v>127</v>
      </c>
      <c r="B36" s="140">
        <v>0</v>
      </c>
      <c r="C36" s="140">
        <v>0</v>
      </c>
      <c r="D36" s="140">
        <v>2</v>
      </c>
      <c r="E36" s="140">
        <v>34</v>
      </c>
      <c r="F36" s="140">
        <v>12</v>
      </c>
      <c r="G36" s="140">
        <f>E36-F36</f>
        <v>22</v>
      </c>
      <c r="H36" s="140">
        <f>F36/E36*100</f>
        <v>35.294117647058826</v>
      </c>
    </row>
    <row r="37" spans="1:8" x14ac:dyDescent="0.2">
      <c r="A37" s="140" t="s">
        <v>127</v>
      </c>
      <c r="B37" s="140">
        <v>0</v>
      </c>
      <c r="C37" s="140">
        <v>0</v>
      </c>
      <c r="D37" s="140">
        <v>3</v>
      </c>
      <c r="E37" s="140">
        <v>18</v>
      </c>
      <c r="F37" s="140">
        <v>7</v>
      </c>
      <c r="G37" s="140">
        <f t="shared" ref="G37:G64" si="2">E37-F37</f>
        <v>11</v>
      </c>
      <c r="H37" s="140">
        <f t="shared" ref="H37:H64" si="3">F37/E37*100</f>
        <v>38.888888888888893</v>
      </c>
    </row>
    <row r="38" spans="1:8" x14ac:dyDescent="0.2">
      <c r="A38" s="140" t="s">
        <v>127</v>
      </c>
      <c r="B38" s="140">
        <v>0</v>
      </c>
      <c r="C38" s="140">
        <v>0</v>
      </c>
      <c r="D38" s="140">
        <v>4</v>
      </c>
      <c r="E38" s="140">
        <v>22</v>
      </c>
      <c r="F38" s="140">
        <v>4</v>
      </c>
      <c r="G38" s="140">
        <f t="shared" si="2"/>
        <v>18</v>
      </c>
      <c r="H38" s="140">
        <f t="shared" si="3"/>
        <v>18.181818181818183</v>
      </c>
    </row>
    <row r="39" spans="1:8" x14ac:dyDescent="0.2">
      <c r="A39" s="140" t="s">
        <v>127</v>
      </c>
      <c r="B39" s="140">
        <v>0</v>
      </c>
      <c r="C39" s="140">
        <v>0</v>
      </c>
      <c r="D39" s="140">
        <v>5</v>
      </c>
      <c r="E39" s="140">
        <v>22</v>
      </c>
      <c r="F39" s="140">
        <v>4</v>
      </c>
      <c r="G39" s="140">
        <f t="shared" si="2"/>
        <v>18</v>
      </c>
      <c r="H39" s="140">
        <f t="shared" si="3"/>
        <v>18.181818181818183</v>
      </c>
    </row>
    <row r="40" spans="1:8" x14ac:dyDescent="0.2">
      <c r="A40" s="140" t="s">
        <v>127</v>
      </c>
      <c r="B40" s="140">
        <v>0</v>
      </c>
      <c r="C40" s="140">
        <v>0</v>
      </c>
      <c r="D40" s="140">
        <v>6</v>
      </c>
      <c r="E40" s="140">
        <v>20</v>
      </c>
      <c r="F40" s="140">
        <v>4</v>
      </c>
      <c r="G40" s="140">
        <f t="shared" si="2"/>
        <v>16</v>
      </c>
      <c r="H40" s="140">
        <f t="shared" si="3"/>
        <v>20</v>
      </c>
    </row>
    <row r="41" spans="1:8" x14ac:dyDescent="0.2">
      <c r="A41" s="140" t="s">
        <v>127</v>
      </c>
      <c r="B41" s="140">
        <v>120916</v>
      </c>
      <c r="C41" s="140">
        <v>76</v>
      </c>
      <c r="D41" s="140">
        <v>1</v>
      </c>
      <c r="E41" s="140">
        <v>23</v>
      </c>
      <c r="F41" s="140">
        <v>7</v>
      </c>
      <c r="G41" s="140">
        <f t="shared" si="2"/>
        <v>16</v>
      </c>
      <c r="H41" s="140">
        <f t="shared" si="3"/>
        <v>30.434782608695656</v>
      </c>
    </row>
    <row r="42" spans="1:8" x14ac:dyDescent="0.2">
      <c r="A42" s="140" t="s">
        <v>127</v>
      </c>
      <c r="B42" s="140">
        <v>120916</v>
      </c>
      <c r="C42" s="140">
        <v>76</v>
      </c>
      <c r="D42" s="140">
        <v>2</v>
      </c>
      <c r="E42" s="140">
        <v>22</v>
      </c>
      <c r="F42" s="140">
        <v>11</v>
      </c>
      <c r="G42" s="140">
        <f t="shared" si="2"/>
        <v>11</v>
      </c>
      <c r="H42" s="140">
        <f t="shared" si="3"/>
        <v>50</v>
      </c>
    </row>
    <row r="43" spans="1:8" x14ac:dyDescent="0.2">
      <c r="A43" s="140" t="s">
        <v>127</v>
      </c>
      <c r="B43" s="140">
        <v>120916</v>
      </c>
      <c r="C43" s="140">
        <v>76</v>
      </c>
      <c r="D43" s="140">
        <v>3</v>
      </c>
      <c r="E43" s="140">
        <v>23</v>
      </c>
      <c r="F43" s="140">
        <v>7</v>
      </c>
      <c r="G43" s="140">
        <f t="shared" si="2"/>
        <v>16</v>
      </c>
      <c r="H43" s="140">
        <f t="shared" si="3"/>
        <v>30.434782608695656</v>
      </c>
    </row>
    <row r="44" spans="1:8" x14ac:dyDescent="0.2">
      <c r="A44" s="140" t="s">
        <v>127</v>
      </c>
      <c r="B44" s="140">
        <v>124098</v>
      </c>
      <c r="C44" s="140">
        <v>78</v>
      </c>
      <c r="D44" s="140">
        <v>1</v>
      </c>
      <c r="E44" s="140">
        <v>19</v>
      </c>
      <c r="F44" s="140">
        <v>4</v>
      </c>
      <c r="G44" s="140">
        <f t="shared" si="2"/>
        <v>15</v>
      </c>
      <c r="H44" s="140">
        <f t="shared" si="3"/>
        <v>21.052631578947366</v>
      </c>
    </row>
    <row r="45" spans="1:8" x14ac:dyDescent="0.2">
      <c r="A45" s="140" t="s">
        <v>127</v>
      </c>
      <c r="B45" s="140">
        <v>124098</v>
      </c>
      <c r="C45" s="140">
        <v>78</v>
      </c>
      <c r="D45" s="140">
        <v>2</v>
      </c>
      <c r="E45" s="140">
        <v>16</v>
      </c>
      <c r="F45" s="140">
        <v>4</v>
      </c>
      <c r="G45" s="140">
        <f t="shared" si="2"/>
        <v>12</v>
      </c>
      <c r="H45" s="140">
        <f t="shared" si="3"/>
        <v>25</v>
      </c>
    </row>
    <row r="46" spans="1:8" x14ac:dyDescent="0.2">
      <c r="A46" s="140" t="s">
        <v>127</v>
      </c>
      <c r="B46" s="140">
        <v>124098</v>
      </c>
      <c r="C46" s="140">
        <v>78</v>
      </c>
      <c r="D46" s="140">
        <v>3</v>
      </c>
      <c r="E46" s="140">
        <v>23</v>
      </c>
      <c r="F46" s="140">
        <v>7</v>
      </c>
      <c r="G46" s="140">
        <f t="shared" si="2"/>
        <v>16</v>
      </c>
      <c r="H46" s="140">
        <f t="shared" si="3"/>
        <v>30.434782608695656</v>
      </c>
    </row>
    <row r="47" spans="1:8" x14ac:dyDescent="0.2">
      <c r="A47" s="140" t="s">
        <v>127</v>
      </c>
      <c r="B47" s="140">
        <v>361157</v>
      </c>
      <c r="C47" s="140">
        <v>227</v>
      </c>
      <c r="D47" s="140">
        <v>1</v>
      </c>
      <c r="E47" s="140">
        <v>10</v>
      </c>
      <c r="F47" s="140">
        <v>4</v>
      </c>
      <c r="G47" s="140">
        <f t="shared" si="2"/>
        <v>6</v>
      </c>
      <c r="H47" s="140">
        <f t="shared" si="3"/>
        <v>40</v>
      </c>
    </row>
    <row r="48" spans="1:8" x14ac:dyDescent="0.2">
      <c r="A48" s="140" t="s">
        <v>127</v>
      </c>
      <c r="B48" s="140">
        <v>361157</v>
      </c>
      <c r="C48" s="140">
        <v>227</v>
      </c>
      <c r="D48" s="140">
        <v>2</v>
      </c>
      <c r="E48" s="140">
        <v>26</v>
      </c>
      <c r="F48" s="140">
        <v>11</v>
      </c>
      <c r="G48" s="140">
        <f t="shared" si="2"/>
        <v>15</v>
      </c>
      <c r="H48" s="140">
        <f t="shared" si="3"/>
        <v>42.307692307692307</v>
      </c>
    </row>
    <row r="49" spans="1:8" x14ac:dyDescent="0.2">
      <c r="A49" s="140" t="s">
        <v>127</v>
      </c>
      <c r="B49" s="140">
        <v>361157</v>
      </c>
      <c r="C49" s="140">
        <v>227</v>
      </c>
      <c r="D49" s="140">
        <v>3</v>
      </c>
      <c r="E49" s="140">
        <v>26</v>
      </c>
      <c r="F49" s="140">
        <v>10</v>
      </c>
      <c r="G49" s="140">
        <f t="shared" si="2"/>
        <v>16</v>
      </c>
      <c r="H49" s="140">
        <f t="shared" si="3"/>
        <v>38.461538461538467</v>
      </c>
    </row>
    <row r="50" spans="1:8" x14ac:dyDescent="0.2">
      <c r="A50" s="140" t="s">
        <v>127</v>
      </c>
      <c r="B50" s="140">
        <v>373885</v>
      </c>
      <c r="C50" s="140">
        <v>235</v>
      </c>
      <c r="D50" s="140">
        <v>1</v>
      </c>
      <c r="E50" s="140">
        <v>20</v>
      </c>
      <c r="F50" s="140">
        <v>7</v>
      </c>
      <c r="G50" s="140">
        <f t="shared" si="2"/>
        <v>13</v>
      </c>
      <c r="H50" s="140">
        <f t="shared" si="3"/>
        <v>35</v>
      </c>
    </row>
    <row r="51" spans="1:8" x14ac:dyDescent="0.2">
      <c r="A51" s="140" t="s">
        <v>127</v>
      </c>
      <c r="B51" s="140">
        <v>373885</v>
      </c>
      <c r="C51" s="140">
        <v>235</v>
      </c>
      <c r="D51" s="140">
        <v>2</v>
      </c>
      <c r="E51" s="140">
        <v>22</v>
      </c>
      <c r="F51" s="140">
        <v>7</v>
      </c>
      <c r="G51" s="140">
        <f t="shared" si="2"/>
        <v>15</v>
      </c>
      <c r="H51" s="140">
        <f t="shared" si="3"/>
        <v>31.818181818181817</v>
      </c>
    </row>
    <row r="52" spans="1:8" x14ac:dyDescent="0.2">
      <c r="A52" s="140" t="s">
        <v>127</v>
      </c>
      <c r="B52" s="140">
        <v>373885</v>
      </c>
      <c r="C52" s="140">
        <v>235</v>
      </c>
      <c r="D52" s="140">
        <v>3</v>
      </c>
      <c r="E52" s="140">
        <v>28</v>
      </c>
      <c r="F52" s="140">
        <v>7</v>
      </c>
      <c r="G52" s="140">
        <f t="shared" si="2"/>
        <v>21</v>
      </c>
      <c r="H52" s="140">
        <f t="shared" si="3"/>
        <v>25</v>
      </c>
    </row>
    <row r="53" spans="1:8" x14ac:dyDescent="0.2">
      <c r="A53" s="140" t="s">
        <v>127</v>
      </c>
      <c r="B53" s="140">
        <v>1081880</v>
      </c>
      <c r="C53" s="140">
        <v>680</v>
      </c>
      <c r="D53" s="140">
        <v>1</v>
      </c>
      <c r="E53" s="140">
        <v>37</v>
      </c>
      <c r="F53" s="140">
        <v>20</v>
      </c>
      <c r="G53" s="140">
        <f t="shared" si="2"/>
        <v>17</v>
      </c>
      <c r="H53" s="140">
        <f t="shared" si="3"/>
        <v>54.054054054054056</v>
      </c>
    </row>
    <row r="54" spans="1:8" x14ac:dyDescent="0.2">
      <c r="A54" s="140" t="s">
        <v>127</v>
      </c>
      <c r="B54" s="140">
        <v>1081880</v>
      </c>
      <c r="C54" s="140">
        <v>680</v>
      </c>
      <c r="D54" s="140">
        <v>2</v>
      </c>
      <c r="E54" s="140">
        <v>28</v>
      </c>
      <c r="F54" s="140">
        <v>13</v>
      </c>
      <c r="G54" s="140">
        <f t="shared" si="2"/>
        <v>15</v>
      </c>
      <c r="H54" s="140">
        <f t="shared" si="3"/>
        <v>46.428571428571431</v>
      </c>
    </row>
    <row r="55" spans="1:8" x14ac:dyDescent="0.2">
      <c r="A55" s="140" t="s">
        <v>127</v>
      </c>
      <c r="B55" s="140">
        <v>1081880</v>
      </c>
      <c r="C55" s="140">
        <v>680</v>
      </c>
      <c r="D55" s="140">
        <v>3</v>
      </c>
      <c r="E55" s="140">
        <v>12</v>
      </c>
      <c r="F55" s="140">
        <v>3</v>
      </c>
      <c r="G55" s="140">
        <f t="shared" si="2"/>
        <v>9</v>
      </c>
      <c r="H55" s="140">
        <f t="shared" si="3"/>
        <v>25</v>
      </c>
    </row>
    <row r="56" spans="1:8" x14ac:dyDescent="0.2">
      <c r="A56" s="140" t="s">
        <v>127</v>
      </c>
      <c r="B56" s="140">
        <v>1120064</v>
      </c>
      <c r="C56" s="140">
        <v>704</v>
      </c>
      <c r="D56" s="140">
        <v>1</v>
      </c>
      <c r="E56" s="140">
        <v>18</v>
      </c>
      <c r="F56" s="140">
        <v>8</v>
      </c>
      <c r="G56" s="140">
        <f t="shared" si="2"/>
        <v>10</v>
      </c>
      <c r="H56" s="140">
        <f t="shared" si="3"/>
        <v>44.444444444444443</v>
      </c>
    </row>
    <row r="57" spans="1:8" x14ac:dyDescent="0.2">
      <c r="A57" s="140" t="s">
        <v>127</v>
      </c>
      <c r="B57" s="140">
        <v>1120064</v>
      </c>
      <c r="C57" s="140">
        <v>704</v>
      </c>
      <c r="D57" s="140">
        <v>2</v>
      </c>
      <c r="E57" s="140">
        <v>19</v>
      </c>
      <c r="F57" s="140">
        <v>7</v>
      </c>
      <c r="G57" s="140">
        <f t="shared" si="2"/>
        <v>12</v>
      </c>
      <c r="H57" s="140">
        <f t="shared" si="3"/>
        <v>36.84210526315789</v>
      </c>
    </row>
    <row r="58" spans="1:8" x14ac:dyDescent="0.2">
      <c r="A58" s="140" t="s">
        <v>127</v>
      </c>
      <c r="B58" s="140">
        <v>1120064</v>
      </c>
      <c r="C58" s="140">
        <v>704</v>
      </c>
      <c r="D58" s="140">
        <v>3</v>
      </c>
      <c r="E58" s="140">
        <v>35</v>
      </c>
      <c r="F58" s="140">
        <v>14</v>
      </c>
      <c r="G58" s="140">
        <f t="shared" si="2"/>
        <v>21</v>
      </c>
      <c r="H58" s="140">
        <f t="shared" si="3"/>
        <v>40</v>
      </c>
    </row>
    <row r="59" spans="1:8" x14ac:dyDescent="0.2">
      <c r="A59" s="140" t="s">
        <v>127</v>
      </c>
      <c r="B59" s="140">
        <v>3259959</v>
      </c>
      <c r="C59" s="140">
        <v>2049</v>
      </c>
      <c r="D59" s="140">
        <v>1</v>
      </c>
      <c r="E59" s="140">
        <v>16</v>
      </c>
      <c r="F59" s="140">
        <v>6</v>
      </c>
      <c r="G59" s="140">
        <f t="shared" si="2"/>
        <v>10</v>
      </c>
      <c r="H59" s="140">
        <f t="shared" si="3"/>
        <v>37.5</v>
      </c>
    </row>
    <row r="60" spans="1:8" x14ac:dyDescent="0.2">
      <c r="A60" s="140" t="s">
        <v>127</v>
      </c>
      <c r="B60" s="140">
        <v>3259959</v>
      </c>
      <c r="C60" s="140">
        <v>2049</v>
      </c>
      <c r="D60" s="140">
        <v>2</v>
      </c>
      <c r="E60" s="140">
        <v>18</v>
      </c>
      <c r="F60" s="140">
        <v>8</v>
      </c>
      <c r="G60" s="140">
        <f t="shared" si="2"/>
        <v>10</v>
      </c>
      <c r="H60" s="140">
        <f t="shared" si="3"/>
        <v>44.444444444444443</v>
      </c>
    </row>
    <row r="61" spans="1:8" x14ac:dyDescent="0.2">
      <c r="A61" s="140" t="s">
        <v>127</v>
      </c>
      <c r="B61" s="140">
        <v>3259959</v>
      </c>
      <c r="C61" s="140">
        <v>2049</v>
      </c>
      <c r="D61" s="140">
        <v>3</v>
      </c>
      <c r="E61" s="140">
        <v>16</v>
      </c>
      <c r="F61" s="140">
        <v>8</v>
      </c>
      <c r="G61" s="140">
        <f t="shared" si="2"/>
        <v>8</v>
      </c>
      <c r="H61" s="140">
        <f t="shared" si="3"/>
        <v>50</v>
      </c>
    </row>
    <row r="62" spans="1:8" x14ac:dyDescent="0.2">
      <c r="A62" s="140" t="s">
        <v>127</v>
      </c>
      <c r="B62" s="140">
        <v>3358601</v>
      </c>
      <c r="C62" s="140">
        <v>2111</v>
      </c>
      <c r="D62" s="140">
        <v>1</v>
      </c>
      <c r="E62" s="140">
        <v>21</v>
      </c>
      <c r="F62" s="140">
        <v>12</v>
      </c>
      <c r="G62" s="140">
        <f t="shared" si="2"/>
        <v>9</v>
      </c>
      <c r="H62" s="140">
        <f t="shared" si="3"/>
        <v>57.142857142857139</v>
      </c>
    </row>
    <row r="63" spans="1:8" x14ac:dyDescent="0.2">
      <c r="A63" s="140" t="s">
        <v>127</v>
      </c>
      <c r="B63" s="140">
        <v>3358601</v>
      </c>
      <c r="C63" s="140">
        <v>2111</v>
      </c>
      <c r="D63" s="140">
        <v>2</v>
      </c>
      <c r="E63" s="140">
        <v>18</v>
      </c>
      <c r="F63" s="140">
        <v>8</v>
      </c>
      <c r="G63" s="140">
        <f t="shared" si="2"/>
        <v>10</v>
      </c>
      <c r="H63" s="140">
        <f t="shared" si="3"/>
        <v>44.444444444444443</v>
      </c>
    </row>
    <row r="64" spans="1:8" x14ac:dyDescent="0.2">
      <c r="A64" s="140" t="s">
        <v>127</v>
      </c>
      <c r="B64" s="140">
        <v>3358601</v>
      </c>
      <c r="C64" s="140">
        <v>2111</v>
      </c>
      <c r="D64" s="140">
        <v>3</v>
      </c>
      <c r="E64" s="140">
        <v>21</v>
      </c>
      <c r="F64" s="140">
        <v>9</v>
      </c>
      <c r="G64" s="140">
        <f t="shared" si="2"/>
        <v>12</v>
      </c>
      <c r="H64" s="140">
        <f t="shared" si="3"/>
        <v>42.857142857142854</v>
      </c>
    </row>
    <row r="65" spans="1:8" x14ac:dyDescent="0.2">
      <c r="A65" s="140" t="s">
        <v>128</v>
      </c>
      <c r="B65" s="140">
        <v>0</v>
      </c>
      <c r="C65" s="140">
        <v>0</v>
      </c>
      <c r="D65" s="140">
        <v>1</v>
      </c>
      <c r="E65" s="140">
        <v>23</v>
      </c>
      <c r="F65" s="140">
        <v>5</v>
      </c>
      <c r="G65" s="140">
        <f>E65-F65</f>
        <v>18</v>
      </c>
      <c r="H65" s="140">
        <f>F65/E65*100</f>
        <v>21.739130434782609</v>
      </c>
    </row>
    <row r="66" spans="1:8" x14ac:dyDescent="0.2">
      <c r="A66" s="140" t="s">
        <v>128</v>
      </c>
      <c r="B66" s="140">
        <v>0</v>
      </c>
      <c r="C66" s="140">
        <v>0</v>
      </c>
      <c r="D66" s="140">
        <v>2</v>
      </c>
      <c r="E66" s="140">
        <v>18</v>
      </c>
      <c r="F66" s="140">
        <v>4</v>
      </c>
      <c r="G66" s="140">
        <f t="shared" ref="G66:G97" si="4">E66-F66</f>
        <v>14</v>
      </c>
      <c r="H66" s="140">
        <f t="shared" ref="H66:H97" si="5">F66/E66*100</f>
        <v>22.222222222222221</v>
      </c>
    </row>
    <row r="67" spans="1:8" x14ac:dyDescent="0.2">
      <c r="A67" s="140" t="s">
        <v>128</v>
      </c>
      <c r="B67" s="140">
        <v>0</v>
      </c>
      <c r="C67" s="140">
        <v>0</v>
      </c>
      <c r="D67" s="140">
        <v>3</v>
      </c>
      <c r="E67" s="140">
        <v>30</v>
      </c>
      <c r="F67" s="140">
        <v>9</v>
      </c>
      <c r="G67" s="140">
        <f t="shared" si="4"/>
        <v>21</v>
      </c>
      <c r="H67" s="140">
        <f t="shared" si="5"/>
        <v>30</v>
      </c>
    </row>
    <row r="68" spans="1:8" x14ac:dyDescent="0.2">
      <c r="A68" s="140" t="s">
        <v>128</v>
      </c>
      <c r="B68" s="140">
        <v>0</v>
      </c>
      <c r="C68" s="140">
        <v>0</v>
      </c>
      <c r="D68" s="140">
        <v>4</v>
      </c>
      <c r="E68" s="140">
        <v>17</v>
      </c>
      <c r="F68" s="140">
        <v>1</v>
      </c>
      <c r="G68" s="140">
        <f t="shared" si="4"/>
        <v>16</v>
      </c>
      <c r="H68" s="140">
        <f t="shared" si="5"/>
        <v>5.8823529411764701</v>
      </c>
    </row>
    <row r="69" spans="1:8" x14ac:dyDescent="0.2">
      <c r="A69" s="140" t="s">
        <v>128</v>
      </c>
      <c r="B69" s="140">
        <v>0</v>
      </c>
      <c r="C69" s="140">
        <v>0</v>
      </c>
      <c r="D69" s="140">
        <v>5</v>
      </c>
      <c r="E69" s="140">
        <v>27</v>
      </c>
      <c r="F69" s="140">
        <v>4</v>
      </c>
      <c r="G69" s="140">
        <f t="shared" si="4"/>
        <v>23</v>
      </c>
      <c r="H69" s="140">
        <f t="shared" si="5"/>
        <v>14.814814814814813</v>
      </c>
    </row>
    <row r="70" spans="1:8" x14ac:dyDescent="0.2">
      <c r="A70" s="140" t="s">
        <v>128</v>
      </c>
      <c r="B70" s="140">
        <v>0</v>
      </c>
      <c r="C70" s="140">
        <v>0</v>
      </c>
      <c r="D70" s="140">
        <v>6</v>
      </c>
      <c r="E70" s="140">
        <v>18</v>
      </c>
      <c r="F70" s="140">
        <v>0</v>
      </c>
      <c r="G70" s="140">
        <f t="shared" si="4"/>
        <v>18</v>
      </c>
      <c r="H70" s="140">
        <f t="shared" si="5"/>
        <v>0</v>
      </c>
    </row>
    <row r="71" spans="1:8" x14ac:dyDescent="0.2">
      <c r="A71" s="140" t="s">
        <v>128</v>
      </c>
      <c r="B71" s="140">
        <v>42287</v>
      </c>
      <c r="C71" s="140">
        <v>49</v>
      </c>
      <c r="D71" s="140">
        <v>1</v>
      </c>
      <c r="E71" s="140">
        <v>39</v>
      </c>
      <c r="F71" s="140">
        <v>11</v>
      </c>
      <c r="G71" s="140">
        <f t="shared" si="4"/>
        <v>28</v>
      </c>
      <c r="H71" s="140">
        <f t="shared" si="5"/>
        <v>28.205128205128204</v>
      </c>
    </row>
    <row r="72" spans="1:8" x14ac:dyDescent="0.2">
      <c r="A72" s="140" t="s">
        <v>128</v>
      </c>
      <c r="B72" s="140">
        <v>42287</v>
      </c>
      <c r="C72" s="140">
        <v>49</v>
      </c>
      <c r="D72" s="140">
        <v>2</v>
      </c>
      <c r="E72" s="140">
        <v>24</v>
      </c>
      <c r="F72" s="140">
        <v>8</v>
      </c>
      <c r="G72" s="140">
        <f t="shared" si="4"/>
        <v>16</v>
      </c>
      <c r="H72" s="140">
        <f t="shared" si="5"/>
        <v>33.333333333333329</v>
      </c>
    </row>
    <row r="73" spans="1:8" x14ac:dyDescent="0.2">
      <c r="A73" s="140" t="s">
        <v>128</v>
      </c>
      <c r="B73" s="140">
        <v>42287</v>
      </c>
      <c r="C73" s="140">
        <v>49</v>
      </c>
      <c r="D73" s="140">
        <v>3</v>
      </c>
      <c r="E73" s="140">
        <v>20</v>
      </c>
      <c r="F73" s="140">
        <v>6</v>
      </c>
      <c r="G73" s="140">
        <f t="shared" si="4"/>
        <v>14</v>
      </c>
      <c r="H73" s="140">
        <f t="shared" si="5"/>
        <v>30</v>
      </c>
    </row>
    <row r="74" spans="1:8" x14ac:dyDescent="0.2">
      <c r="A74" s="140" t="s">
        <v>128</v>
      </c>
      <c r="B74" s="140">
        <v>66451</v>
      </c>
      <c r="C74" s="140">
        <v>77</v>
      </c>
      <c r="D74" s="140">
        <v>1</v>
      </c>
      <c r="E74" s="140">
        <v>28</v>
      </c>
      <c r="F74" s="140">
        <v>6</v>
      </c>
      <c r="G74" s="140">
        <f t="shared" si="4"/>
        <v>22</v>
      </c>
      <c r="H74" s="140">
        <f t="shared" si="5"/>
        <v>21.428571428571427</v>
      </c>
    </row>
    <row r="75" spans="1:8" x14ac:dyDescent="0.2">
      <c r="A75" s="140" t="s">
        <v>128</v>
      </c>
      <c r="B75" s="140">
        <v>66451</v>
      </c>
      <c r="C75" s="140">
        <v>77</v>
      </c>
      <c r="D75" s="140">
        <v>2</v>
      </c>
      <c r="E75" s="140">
        <v>20</v>
      </c>
      <c r="F75" s="140">
        <v>2</v>
      </c>
      <c r="G75" s="140">
        <f t="shared" si="4"/>
        <v>18</v>
      </c>
      <c r="H75" s="140">
        <f t="shared" si="5"/>
        <v>10</v>
      </c>
    </row>
    <row r="76" spans="1:8" x14ac:dyDescent="0.2">
      <c r="A76" s="140" t="s">
        <v>128</v>
      </c>
      <c r="B76" s="140">
        <v>66451</v>
      </c>
      <c r="C76" s="140">
        <v>77</v>
      </c>
      <c r="D76" s="140">
        <v>3</v>
      </c>
      <c r="E76" s="140">
        <v>29</v>
      </c>
      <c r="F76" s="140">
        <v>4</v>
      </c>
      <c r="G76" s="140">
        <f t="shared" si="4"/>
        <v>25</v>
      </c>
      <c r="H76" s="140">
        <f t="shared" si="5"/>
        <v>13.793103448275861</v>
      </c>
    </row>
    <row r="77" spans="1:8" x14ac:dyDescent="0.2">
      <c r="A77" s="140" t="s">
        <v>128</v>
      </c>
      <c r="B77" s="140">
        <v>127724</v>
      </c>
      <c r="C77" s="140">
        <v>148</v>
      </c>
      <c r="D77" s="140">
        <v>1</v>
      </c>
      <c r="E77" s="140">
        <v>68</v>
      </c>
      <c r="F77" s="140">
        <v>21</v>
      </c>
      <c r="G77" s="140">
        <f t="shared" si="4"/>
        <v>47</v>
      </c>
      <c r="H77" s="140">
        <f t="shared" si="5"/>
        <v>30.882352941176471</v>
      </c>
    </row>
    <row r="78" spans="1:8" x14ac:dyDescent="0.2">
      <c r="A78" s="140" t="s">
        <v>128</v>
      </c>
      <c r="B78" s="140">
        <v>127724</v>
      </c>
      <c r="C78" s="140">
        <v>148</v>
      </c>
      <c r="D78" s="140">
        <v>2</v>
      </c>
      <c r="E78" s="140">
        <v>41</v>
      </c>
      <c r="F78" s="140">
        <v>12</v>
      </c>
      <c r="G78" s="140">
        <f t="shared" si="4"/>
        <v>29</v>
      </c>
      <c r="H78" s="140">
        <f t="shared" si="5"/>
        <v>29.268292682926827</v>
      </c>
    </row>
    <row r="79" spans="1:8" x14ac:dyDescent="0.2">
      <c r="A79" s="140" t="s">
        <v>128</v>
      </c>
      <c r="B79" s="140">
        <v>127724</v>
      </c>
      <c r="C79" s="140">
        <v>148</v>
      </c>
      <c r="D79" s="140">
        <v>3</v>
      </c>
      <c r="E79" s="140">
        <v>17</v>
      </c>
      <c r="F79" s="140">
        <v>7</v>
      </c>
      <c r="G79" s="140">
        <f t="shared" si="4"/>
        <v>10</v>
      </c>
      <c r="H79" s="140">
        <f t="shared" si="5"/>
        <v>41.17647058823529</v>
      </c>
    </row>
    <row r="80" spans="1:8" x14ac:dyDescent="0.2">
      <c r="A80" s="140" t="s">
        <v>128</v>
      </c>
      <c r="B80" s="140">
        <v>199353</v>
      </c>
      <c r="C80" s="140">
        <v>231</v>
      </c>
      <c r="D80" s="140">
        <v>1</v>
      </c>
      <c r="E80" s="140">
        <v>14</v>
      </c>
      <c r="F80" s="140">
        <v>4</v>
      </c>
      <c r="G80" s="140">
        <f t="shared" si="4"/>
        <v>10</v>
      </c>
      <c r="H80" s="140">
        <f t="shared" si="5"/>
        <v>28.571428571428569</v>
      </c>
    </row>
    <row r="81" spans="1:8" x14ac:dyDescent="0.2">
      <c r="A81" s="140" t="s">
        <v>128</v>
      </c>
      <c r="B81" s="140">
        <v>199353</v>
      </c>
      <c r="C81" s="140">
        <v>231</v>
      </c>
      <c r="D81" s="140">
        <v>2</v>
      </c>
      <c r="E81" s="140">
        <v>21</v>
      </c>
      <c r="F81" s="140">
        <v>3</v>
      </c>
      <c r="G81" s="140">
        <f t="shared" si="4"/>
        <v>18</v>
      </c>
      <c r="H81" s="140">
        <f t="shared" si="5"/>
        <v>14.285714285714285</v>
      </c>
    </row>
    <row r="82" spans="1:8" x14ac:dyDescent="0.2">
      <c r="A82" s="140" t="s">
        <v>128</v>
      </c>
      <c r="B82" s="140">
        <v>199353</v>
      </c>
      <c r="C82" s="140">
        <v>231</v>
      </c>
      <c r="D82" s="140">
        <v>3</v>
      </c>
      <c r="E82" s="140">
        <v>39</v>
      </c>
      <c r="F82" s="140">
        <v>5</v>
      </c>
      <c r="G82" s="140">
        <f t="shared" si="4"/>
        <v>34</v>
      </c>
      <c r="H82" s="140">
        <f t="shared" si="5"/>
        <v>12.820512820512819</v>
      </c>
    </row>
    <row r="83" spans="1:8" x14ac:dyDescent="0.2">
      <c r="A83" s="140" t="s">
        <v>128</v>
      </c>
      <c r="B83" s="140">
        <v>383172</v>
      </c>
      <c r="C83" s="140">
        <v>444</v>
      </c>
      <c r="D83" s="140">
        <v>1</v>
      </c>
      <c r="E83" s="140">
        <v>82</v>
      </c>
      <c r="F83" s="140">
        <v>24</v>
      </c>
      <c r="G83" s="140">
        <f t="shared" si="4"/>
        <v>58</v>
      </c>
      <c r="H83" s="140">
        <f t="shared" si="5"/>
        <v>29.268292682926827</v>
      </c>
    </row>
    <row r="84" spans="1:8" x14ac:dyDescent="0.2">
      <c r="A84" s="140" t="s">
        <v>128</v>
      </c>
      <c r="B84" s="140">
        <v>383172</v>
      </c>
      <c r="C84" s="140">
        <v>444</v>
      </c>
      <c r="D84" s="140">
        <v>2</v>
      </c>
      <c r="E84" s="140">
        <v>25</v>
      </c>
      <c r="F84" s="140">
        <v>8</v>
      </c>
      <c r="G84" s="140">
        <f t="shared" si="4"/>
        <v>17</v>
      </c>
      <c r="H84" s="140">
        <f t="shared" si="5"/>
        <v>32</v>
      </c>
    </row>
    <row r="85" spans="1:8" x14ac:dyDescent="0.2">
      <c r="A85" s="140" t="s">
        <v>128</v>
      </c>
      <c r="B85" s="140">
        <v>383172</v>
      </c>
      <c r="C85" s="140">
        <v>444</v>
      </c>
      <c r="D85" s="140">
        <v>3</v>
      </c>
      <c r="E85" s="140">
        <v>55</v>
      </c>
      <c r="F85" s="140">
        <v>12</v>
      </c>
      <c r="G85" s="140">
        <f t="shared" si="4"/>
        <v>43</v>
      </c>
      <c r="H85" s="140">
        <f t="shared" si="5"/>
        <v>21.818181818181817</v>
      </c>
    </row>
    <row r="86" spans="1:8" x14ac:dyDescent="0.2">
      <c r="A86" s="140" t="s">
        <v>128</v>
      </c>
      <c r="B86" s="140">
        <v>598922</v>
      </c>
      <c r="C86" s="140">
        <v>694</v>
      </c>
      <c r="D86" s="140">
        <v>1</v>
      </c>
      <c r="E86" s="140">
        <v>17</v>
      </c>
      <c r="F86" s="140">
        <v>5</v>
      </c>
      <c r="G86" s="140">
        <f t="shared" si="4"/>
        <v>12</v>
      </c>
      <c r="H86" s="140">
        <f t="shared" si="5"/>
        <v>29.411764705882355</v>
      </c>
    </row>
    <row r="87" spans="1:8" x14ac:dyDescent="0.2">
      <c r="A87" s="140" t="s">
        <v>128</v>
      </c>
      <c r="B87" s="140">
        <v>598922</v>
      </c>
      <c r="C87" s="140">
        <v>694</v>
      </c>
      <c r="D87" s="140">
        <v>2</v>
      </c>
      <c r="E87" s="140">
        <v>22</v>
      </c>
      <c r="F87" s="140">
        <v>4</v>
      </c>
      <c r="G87" s="140">
        <f t="shared" si="4"/>
        <v>18</v>
      </c>
      <c r="H87" s="140">
        <f t="shared" si="5"/>
        <v>18.181818181818183</v>
      </c>
    </row>
    <row r="88" spans="1:8" x14ac:dyDescent="0.2">
      <c r="A88" s="140" t="s">
        <v>128</v>
      </c>
      <c r="B88" s="140">
        <v>598922</v>
      </c>
      <c r="C88" s="140">
        <v>694</v>
      </c>
      <c r="D88" s="140">
        <v>3</v>
      </c>
      <c r="E88" s="140">
        <v>15</v>
      </c>
      <c r="F88" s="140">
        <v>4</v>
      </c>
      <c r="G88" s="140">
        <f t="shared" si="4"/>
        <v>11</v>
      </c>
      <c r="H88" s="140">
        <f t="shared" si="5"/>
        <v>26.666666666666668</v>
      </c>
    </row>
    <row r="89" spans="1:8" x14ac:dyDescent="0.2">
      <c r="A89" s="140" t="s">
        <v>128</v>
      </c>
      <c r="B89" s="140">
        <v>1150379</v>
      </c>
      <c r="C89" s="140">
        <v>1333</v>
      </c>
      <c r="D89" s="140">
        <v>1</v>
      </c>
      <c r="E89" s="140">
        <v>21</v>
      </c>
      <c r="F89" s="140">
        <v>8</v>
      </c>
      <c r="G89" s="140">
        <f t="shared" si="4"/>
        <v>13</v>
      </c>
      <c r="H89" s="140">
        <f t="shared" si="5"/>
        <v>38.095238095238095</v>
      </c>
    </row>
    <row r="90" spans="1:8" x14ac:dyDescent="0.2">
      <c r="A90" s="140" t="s">
        <v>128</v>
      </c>
      <c r="B90" s="140">
        <v>1150379</v>
      </c>
      <c r="C90" s="140">
        <v>1333</v>
      </c>
      <c r="D90" s="140">
        <v>2</v>
      </c>
      <c r="E90" s="140">
        <v>27</v>
      </c>
      <c r="F90" s="140">
        <v>8</v>
      </c>
      <c r="G90" s="140">
        <f t="shared" si="4"/>
        <v>19</v>
      </c>
      <c r="H90" s="140">
        <f t="shared" si="5"/>
        <v>29.629629629629626</v>
      </c>
    </row>
    <row r="91" spans="1:8" x14ac:dyDescent="0.2">
      <c r="A91" s="140" t="s">
        <v>128</v>
      </c>
      <c r="B91" s="140">
        <v>1150379</v>
      </c>
      <c r="C91" s="140">
        <v>1333</v>
      </c>
      <c r="D91" s="140">
        <v>3</v>
      </c>
      <c r="E91" s="140">
        <v>37</v>
      </c>
      <c r="F91" s="140">
        <v>13</v>
      </c>
      <c r="G91" s="140">
        <f t="shared" si="4"/>
        <v>24</v>
      </c>
      <c r="H91" s="140">
        <f t="shared" si="5"/>
        <v>35.135135135135137</v>
      </c>
    </row>
    <row r="92" spans="1:8" x14ac:dyDescent="0.2">
      <c r="A92" s="140" t="s">
        <v>128</v>
      </c>
      <c r="B92" s="140">
        <v>1797629</v>
      </c>
      <c r="C92" s="140">
        <v>2083</v>
      </c>
      <c r="D92" s="140">
        <v>1</v>
      </c>
      <c r="E92" s="140">
        <v>14</v>
      </c>
      <c r="F92" s="140">
        <v>6</v>
      </c>
      <c r="G92" s="140">
        <f t="shared" si="4"/>
        <v>8</v>
      </c>
      <c r="H92" s="140">
        <f t="shared" si="5"/>
        <v>42.857142857142854</v>
      </c>
    </row>
    <row r="93" spans="1:8" x14ac:dyDescent="0.2">
      <c r="A93" s="140" t="s">
        <v>128</v>
      </c>
      <c r="B93" s="140">
        <v>1797629</v>
      </c>
      <c r="C93" s="140">
        <v>2083</v>
      </c>
      <c r="D93" s="140">
        <v>2</v>
      </c>
      <c r="E93" s="140">
        <v>31</v>
      </c>
      <c r="F93" s="140">
        <v>9</v>
      </c>
      <c r="G93" s="140">
        <f t="shared" si="4"/>
        <v>22</v>
      </c>
      <c r="H93" s="140">
        <f t="shared" si="5"/>
        <v>29.032258064516132</v>
      </c>
    </row>
    <row r="94" spans="1:8" x14ac:dyDescent="0.2">
      <c r="A94" s="140" t="s">
        <v>128</v>
      </c>
      <c r="B94" s="140">
        <v>1797629</v>
      </c>
      <c r="C94" s="140">
        <v>2083</v>
      </c>
      <c r="D94" s="140">
        <v>3</v>
      </c>
      <c r="E94" s="140">
        <v>71</v>
      </c>
      <c r="F94" s="140">
        <v>12</v>
      </c>
      <c r="G94" s="140">
        <f t="shared" si="4"/>
        <v>59</v>
      </c>
      <c r="H94" s="140">
        <f t="shared" si="5"/>
        <v>16.901408450704224</v>
      </c>
    </row>
    <row r="95" spans="1:8" x14ac:dyDescent="0.2">
      <c r="A95" s="140" t="s">
        <v>128</v>
      </c>
      <c r="B95" s="140">
        <v>3452000</v>
      </c>
      <c r="C95" s="140">
        <v>4000</v>
      </c>
      <c r="D95" s="140">
        <v>1</v>
      </c>
      <c r="E95" s="140">
        <v>19</v>
      </c>
      <c r="F95" s="140">
        <v>8</v>
      </c>
      <c r="G95" s="140">
        <f t="shared" si="4"/>
        <v>11</v>
      </c>
      <c r="H95" s="140">
        <f t="shared" si="5"/>
        <v>42.105263157894733</v>
      </c>
    </row>
    <row r="96" spans="1:8" x14ac:dyDescent="0.2">
      <c r="A96" s="140" t="s">
        <v>128</v>
      </c>
      <c r="B96" s="140">
        <v>3452000</v>
      </c>
      <c r="C96" s="140">
        <v>4000</v>
      </c>
      <c r="D96" s="140">
        <v>2</v>
      </c>
      <c r="E96" s="140">
        <v>43</v>
      </c>
      <c r="F96" s="140">
        <v>11</v>
      </c>
      <c r="G96" s="140">
        <f t="shared" si="4"/>
        <v>32</v>
      </c>
      <c r="H96" s="140">
        <f t="shared" si="5"/>
        <v>25.581395348837212</v>
      </c>
    </row>
    <row r="97" spans="1:8" x14ac:dyDescent="0.2">
      <c r="A97" s="140" t="s">
        <v>128</v>
      </c>
      <c r="B97" s="140">
        <v>3452000</v>
      </c>
      <c r="C97" s="140">
        <v>4000</v>
      </c>
      <c r="D97" s="140">
        <v>3</v>
      </c>
      <c r="E97" s="140">
        <v>36</v>
      </c>
      <c r="F97" s="140">
        <v>11</v>
      </c>
      <c r="G97" s="140">
        <f t="shared" si="4"/>
        <v>25</v>
      </c>
      <c r="H97" s="140">
        <f t="shared" si="5"/>
        <v>30.555555555555557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Barnalce Toxicity Assays</vt:lpstr>
      <vt:lpstr>Data for R</vt:lpstr>
      <vt:lpstr>Particle concentrations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Sidlow</dc:creator>
  <cp:lastModifiedBy>Emily Sidlow</cp:lastModifiedBy>
  <dcterms:created xsi:type="dcterms:W3CDTF">2026-05-15T20:23:40Z</dcterms:created>
  <dcterms:modified xsi:type="dcterms:W3CDTF">2026-06-21T14:04:58Z</dcterms:modified>
</cp:coreProperties>
</file>